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3D9C9BC3-7469-45F5-8C07-A3CC4E7D2F72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测试用例与标签" sheetId="1" r:id="rId1"/>
    <sheet name="gpt5-测试结果" sheetId="2" r:id="rId2"/>
    <sheet name="gpt5-mini" sheetId="4" r:id="rId3"/>
    <sheet name="gemini" sheetId="5" r:id="rId4"/>
    <sheet name="雷达图" sheetId="3" r:id="rId5"/>
    <sheet name="雷达图 (百分比)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6" l="1"/>
  <c r="D13" i="6"/>
  <c r="E13" i="6"/>
  <c r="F13" i="6"/>
  <c r="B13" i="6"/>
  <c r="C12" i="6"/>
  <c r="D12" i="6"/>
  <c r="E12" i="6"/>
  <c r="F12" i="6"/>
  <c r="B12" i="6"/>
  <c r="C11" i="6"/>
  <c r="D11" i="6"/>
  <c r="E11" i="6"/>
  <c r="F11" i="6"/>
  <c r="B11" i="6"/>
  <c r="C52" i="1"/>
  <c r="D52" i="1"/>
  <c r="E52" i="1"/>
  <c r="F52" i="1"/>
  <c r="B52" i="1"/>
  <c r="K52" i="5"/>
  <c r="J52" i="5"/>
  <c r="I52" i="5"/>
  <c r="H52" i="5"/>
  <c r="G52" i="5"/>
  <c r="K51" i="5"/>
  <c r="J51" i="5"/>
  <c r="I51" i="5"/>
  <c r="H51" i="5"/>
  <c r="G51" i="5"/>
  <c r="K50" i="5"/>
  <c r="J50" i="5"/>
  <c r="I50" i="5"/>
  <c r="H50" i="5"/>
  <c r="G50" i="5"/>
  <c r="K49" i="5"/>
  <c r="J49" i="5"/>
  <c r="I49" i="5"/>
  <c r="H49" i="5"/>
  <c r="G49" i="5"/>
  <c r="K48" i="5"/>
  <c r="J48" i="5"/>
  <c r="I48" i="5"/>
  <c r="H48" i="5"/>
  <c r="G48" i="5"/>
  <c r="K47" i="5"/>
  <c r="J47" i="5"/>
  <c r="I47" i="5"/>
  <c r="H47" i="5"/>
  <c r="G47" i="5"/>
  <c r="K46" i="5"/>
  <c r="J46" i="5"/>
  <c r="I46" i="5"/>
  <c r="H46" i="5"/>
  <c r="G46" i="5"/>
  <c r="K45" i="5"/>
  <c r="J45" i="5"/>
  <c r="I45" i="5"/>
  <c r="H45" i="5"/>
  <c r="G45" i="5"/>
  <c r="K44" i="5"/>
  <c r="J44" i="5"/>
  <c r="I44" i="5"/>
  <c r="H44" i="5"/>
  <c r="G44" i="5"/>
  <c r="K43" i="5"/>
  <c r="J43" i="5"/>
  <c r="I43" i="5"/>
  <c r="H43" i="5"/>
  <c r="G43" i="5"/>
  <c r="K42" i="5"/>
  <c r="J42" i="5"/>
  <c r="I42" i="5"/>
  <c r="H42" i="5"/>
  <c r="G42" i="5"/>
  <c r="K41" i="5"/>
  <c r="J41" i="5"/>
  <c r="I41" i="5"/>
  <c r="H41" i="5"/>
  <c r="G41" i="5"/>
  <c r="K40" i="5"/>
  <c r="J40" i="5"/>
  <c r="I40" i="5"/>
  <c r="H40" i="5"/>
  <c r="G40" i="5"/>
  <c r="K39" i="5"/>
  <c r="J39" i="5"/>
  <c r="I39" i="5"/>
  <c r="H39" i="5"/>
  <c r="G39" i="5"/>
  <c r="K38" i="5"/>
  <c r="J38" i="5"/>
  <c r="I38" i="5"/>
  <c r="H38" i="5"/>
  <c r="G38" i="5"/>
  <c r="K37" i="5"/>
  <c r="J37" i="5"/>
  <c r="I37" i="5"/>
  <c r="H37" i="5"/>
  <c r="G37" i="5"/>
  <c r="K36" i="5"/>
  <c r="J36" i="5"/>
  <c r="I36" i="5"/>
  <c r="H36" i="5"/>
  <c r="G36" i="5"/>
  <c r="K35" i="5"/>
  <c r="J35" i="5"/>
  <c r="I35" i="5"/>
  <c r="H35" i="5"/>
  <c r="G35" i="5"/>
  <c r="K34" i="5"/>
  <c r="J34" i="5"/>
  <c r="I34" i="5"/>
  <c r="H34" i="5"/>
  <c r="G34" i="5"/>
  <c r="K33" i="5"/>
  <c r="J33" i="5"/>
  <c r="I33" i="5"/>
  <c r="H33" i="5"/>
  <c r="G33" i="5"/>
  <c r="K32" i="5"/>
  <c r="J32" i="5"/>
  <c r="I32" i="5"/>
  <c r="H32" i="5"/>
  <c r="G32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3" i="5"/>
  <c r="J3" i="5"/>
  <c r="I3" i="5"/>
  <c r="H3" i="5"/>
  <c r="G3" i="5"/>
  <c r="K2" i="5"/>
  <c r="J2" i="5"/>
  <c r="I2" i="5"/>
  <c r="H2" i="5"/>
  <c r="G2" i="5"/>
  <c r="H52" i="4"/>
  <c r="I52" i="4"/>
  <c r="J52" i="4"/>
  <c r="K52" i="4"/>
  <c r="G5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3" i="4"/>
  <c r="H4" i="4"/>
  <c r="H5" i="4"/>
  <c r="H6" i="4"/>
  <c r="H7" i="4"/>
  <c r="H8" i="4"/>
  <c r="H9" i="4"/>
  <c r="H10" i="4"/>
  <c r="H11" i="4"/>
  <c r="H12" i="4"/>
  <c r="H1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L52" i="2" l="1"/>
  <c r="M52" i="2"/>
  <c r="N52" i="2"/>
  <c r="O52" i="2"/>
  <c r="K5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</calcChain>
</file>

<file path=xl/sharedStrings.xml><?xml version="1.0" encoding="utf-8"?>
<sst xmlns="http://schemas.openxmlformats.org/spreadsheetml/2006/main" count="727" uniqueCount="131">
  <si>
    <t>直接命令</t>
    <phoneticPr fontId="2" type="noConversion"/>
  </si>
  <si>
    <t>命令链</t>
    <phoneticPr fontId="2" type="noConversion"/>
  </si>
  <si>
    <t>意图解析</t>
    <phoneticPr fontId="2" type="noConversion"/>
  </si>
  <si>
    <t>持久化</t>
    <phoneticPr fontId="2" type="noConversion"/>
  </si>
  <si>
    <t>个性化</t>
    <phoneticPr fontId="2" type="noConversion"/>
  </si>
  <si>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</si>
  <si>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</si>
  <si>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</si>
  <si>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</si>
  <si>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</si>
  <si>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</si>
  <si>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</si>
  <si>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</si>
  <si>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</si>
  <si>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</si>
  <si>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</si>
  <si>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</si>
  <si>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</si>
  <si>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</si>
  <si>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</si>
  <si>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3" type="noConversion"/>
  </si>
  <si>
    <t>17. 把卧室灯关掉，打开客厅灯</t>
    <phoneticPr fontId="3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</si>
  <si>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</si>
  <si>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</si>
  <si>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</si>
  <si>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</si>
  <si>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</si>
  <si>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</si>
  <si>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</si>
  <si>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3" type="noConversion"/>
  </si>
  <si>
    <t>26. 天黑时，如果窗户没关，告诉我。</t>
  </si>
  <si>
    <t>27. 当台灯打开时，打开插座</t>
    <phoneticPr fontId="3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</si>
  <si>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</si>
  <si>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</si>
  <si>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</si>
  <si>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</si>
  <si>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</si>
  <si>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</si>
  <si>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</si>
  <si>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</si>
  <si>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</si>
  <si>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</si>
  <si>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</si>
  <si>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</si>
  <si>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</si>
  <si>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</si>
  <si>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</si>
  <si>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</si>
  <si>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</si>
  <si>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3" type="noConversion"/>
  </si>
  <si>
    <t>46. 准备睡觉</t>
  </si>
  <si>
    <t>47. 现在是周六晚上了，明天记得叫我起床。</t>
  </si>
  <si>
    <t>48. 又到暑假了，现在我准备睡觉了。我有错过什么吗？</t>
    <phoneticPr fontId="3" type="noConversion"/>
  </si>
  <si>
    <t>49. 帮我配置下网关的勿扰模式</t>
  </si>
  <si>
    <t xml:space="preserve">50. 哦，今天天气真好 </t>
  </si>
  <si>
    <t>one_prompt</t>
    <phoneticPr fontId="3" type="noConversion"/>
  </si>
  <si>
    <t>sasha</t>
    <phoneticPr fontId="3" type="noConversion"/>
  </si>
  <si>
    <t>sage</t>
    <phoneticPr fontId="3" type="noConversion"/>
  </si>
  <si>
    <t>our</t>
    <phoneticPr fontId="3" type="noConversion"/>
  </si>
  <si>
    <t>ok</t>
    <phoneticPr fontId="3" type="noConversion"/>
  </si>
  <si>
    <t>遗漏一个</t>
    <phoneticPr fontId="3" type="noConversion"/>
  </si>
  <si>
    <t>只获取一个</t>
    <phoneticPr fontId="3" type="noConversion"/>
  </si>
  <si>
    <t>实体id传递错误</t>
    <phoneticPr fontId="3" type="noConversion"/>
  </si>
  <si>
    <t>未根据当前值处理</t>
    <phoneticPr fontId="3" type="noConversion"/>
  </si>
  <si>
    <t>未根据当前亮度值计算</t>
    <phoneticPr fontId="3" type="noConversion"/>
  </si>
  <si>
    <t>qwen 未处理json中的计算</t>
    <phoneticPr fontId="3" type="noConversion"/>
  </si>
  <si>
    <t>小米api调用错误</t>
    <phoneticPr fontId="3" type="noConversion"/>
  </si>
  <si>
    <t>错误</t>
    <phoneticPr fontId="3" type="noConversion"/>
  </si>
  <si>
    <t>音箱api调用错误</t>
    <phoneticPr fontId="3" type="noConversion"/>
  </si>
  <si>
    <t>调用下调，而不是设置音量为当前值-2%</t>
    <phoneticPr fontId="3" type="noConversion"/>
  </si>
  <si>
    <t>调用错误</t>
    <phoneticPr fontId="3" type="noConversion"/>
  </si>
  <si>
    <t>代码逻辑错误</t>
    <phoneticPr fontId="3" type="noConversion"/>
  </si>
  <si>
    <t>未写代码，直接将任务加到队列</t>
    <phoneticPr fontId="3" type="noConversion"/>
  </si>
  <si>
    <t>创建持久化时，还执行动作：插座关了</t>
    <phoneticPr fontId="3" type="noConversion"/>
  </si>
  <si>
    <t>代码 错误</t>
    <phoneticPr fontId="3" type="noConversion"/>
  </si>
  <si>
    <t>不断重复调用生成条件代码</t>
    <phoneticPr fontId="3" type="noConversion"/>
  </si>
  <si>
    <t>创建持久化时，还特地执行一遍动作</t>
    <phoneticPr fontId="3" type="noConversion"/>
  </si>
  <si>
    <t>未调用持久化</t>
    <phoneticPr fontId="3" type="noConversion"/>
  </si>
  <si>
    <t>代码错误</t>
    <phoneticPr fontId="3" type="noConversion"/>
  </si>
  <si>
    <t>音箱参数格式错误</t>
    <phoneticPr fontId="3" type="noConversion"/>
  </si>
  <si>
    <t>未调用记忆</t>
    <phoneticPr fontId="3" type="noConversion"/>
  </si>
  <si>
    <t>设备调用不满足要求</t>
    <phoneticPr fontId="3" type="noConversion"/>
  </si>
  <si>
    <t>关了不能关的插座</t>
    <phoneticPr fontId="3" type="noConversion"/>
  </si>
  <si>
    <t>卡死</t>
    <phoneticPr fontId="3" type="noConversion"/>
  </si>
  <si>
    <t>臆想严重，调用多个不存在设备，卡了30多分钟，停了</t>
    <phoneticPr fontId="3" type="noConversion"/>
  </si>
  <si>
    <t>还开了台灯</t>
    <phoneticPr fontId="3" type="noConversion"/>
  </si>
  <si>
    <t>既没调记忆，又没用音箱播放</t>
    <phoneticPr fontId="3" type="noConversion"/>
  </si>
  <si>
    <t>改了提示词后，传递给持久化的是加密数据</t>
    <phoneticPr fontId="3" type="noConversion"/>
  </si>
  <si>
    <t>太长了，时间卡了30多分钟</t>
    <phoneticPr fontId="3" type="noConversion"/>
  </si>
  <si>
    <t>不调用音箱闹钟；持久化代码错误</t>
    <phoneticPr fontId="3" type="noConversion"/>
  </si>
  <si>
    <t>还整了手机通话什么的，中途停了</t>
    <phoneticPr fontId="3" type="noConversion"/>
  </si>
  <si>
    <t>未正确理解，直接回答，不调用任何工具</t>
    <phoneticPr fontId="3" type="noConversion"/>
  </si>
  <si>
    <t>GPT5</t>
    <phoneticPr fontId="2" type="noConversion"/>
  </si>
  <si>
    <t>GPT5-mini</t>
    <phoneticPr fontId="2" type="noConversion"/>
  </si>
  <si>
    <t>Gemini2-Pro</t>
    <phoneticPr fontId="2" type="noConversion"/>
  </si>
  <si>
    <t>Direct Command</t>
    <phoneticPr fontId="2" type="noConversion"/>
  </si>
  <si>
    <t>Command Chaining</t>
    <phoneticPr fontId="2" type="noConversion"/>
  </si>
  <si>
    <t>Intent Resolution</t>
    <phoneticPr fontId="2" type="noConversion"/>
  </si>
  <si>
    <t>Persistence</t>
    <phoneticPr fontId="2" type="noConversion"/>
  </si>
  <si>
    <t>Personalization</t>
    <phoneticPr fontId="2" type="noConversion"/>
  </si>
  <si>
    <t>ok</t>
  </si>
  <si>
    <t>合并</t>
  </si>
  <si>
    <t/>
  </si>
  <si>
    <t>our</t>
  </si>
  <si>
    <t>遗漏</t>
  </si>
  <si>
    <t>请问您想知道哪个台灯的情况？是“卧室的米家智能台灯Lite”还是“客厅的灯泡”？</t>
  </si>
  <si>
    <t>台灯已打开。请问您想打开哪个智能插座？</t>
  </si>
  <si>
    <t>将所有灯关掉</t>
  </si>
  <si>
    <t>？不回复内容；无工具调用、无拒绝响应</t>
  </si>
  <si>
    <t>好的，已为您调高音量。请问您想把哪个灯泡调暗？</t>
  </si>
  <si>
    <t>好的，请问您想将哪个客厅灯调暖？有：客厅吸顶灯、客厅灯</t>
  </si>
  <si>
    <t>请问您想关闭哪个台灯？</t>
  </si>
  <si>
    <t>请问您想关闭哪个卧室灯呢？</t>
  </si>
  <si>
    <t>好的，有很多设备都可以播放电台，请问您想用哪个设备播放电台？</t>
  </si>
  <si>
    <t>好的，请问您想暂停哪个设备的播放？我可以为您暂停播放。</t>
  </si>
  <si>
    <t>好的，这就为您播放。不过我还没有记忆功能，所以就再为您随便来一首。</t>
  </si>
  <si>
    <t>我无法播放音乐，但我可以为你控制智能家居设备。</t>
  </si>
  <si>
    <t>代码错误</t>
  </si>
  <si>
    <t>好的，请问您想打开哪个灯？</t>
  </si>
  <si>
    <t>您需要指定关闭哪一盏灯，我可以为您关闭以下这些灯：</t>
  </si>
  <si>
    <t>好的，请问您想将哪个灯调整到阅读模式呢？</t>
  </si>
  <si>
    <t>未获取实体id，臆想id去执行</t>
  </si>
  <si>
    <t>未调用记忆</t>
  </si>
  <si>
    <t>好的，但是我没有找到“氛围-组”这个设备，请确认设备名称是否正确</t>
  </si>
  <si>
    <t>直接命令</t>
  </si>
  <si>
    <t>命令链</t>
  </si>
  <si>
    <t>意图解析</t>
  </si>
  <si>
    <t>持久化</t>
  </si>
  <si>
    <t>个性化</t>
  </si>
  <si>
    <t>百分比结果</t>
    <phoneticPr fontId="2" type="noConversion"/>
  </si>
  <si>
    <t>Gemini2.5-Pro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</si>
</sst>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雷达图!$A$2</c:f>
              <c:strCache>
                <c:ptCount val="1"/>
                <c:pt idx="0">
                  <c:v>GPT5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雷达图!$B$2:$F$2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F49-9AC7-83477AE5E45F}"/>
            </c:ext>
          </c:extLst>
        </c:ser>
        <c:ser>
          <c:idx val="1"/>
          <c:order val="1"/>
          <c:tx>
            <c:strRef>
              <c:f>雷达图!$A$3</c:f>
              <c:strCache>
                <c:ptCount val="1"/>
                <c:pt idx="0">
                  <c:v>GPT5-mini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雷达图!$B$3:$F$3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F49-9AC7-83477AE5E45F}"/>
            </c:ext>
          </c:extLst>
        </c:ser>
        <c:ser>
          <c:idx val="2"/>
          <c:order val="2"/>
          <c:tx>
            <c:strRef>
              <c:f>雷达图!$A$4</c:f>
              <c:strCache>
                <c:ptCount val="1"/>
                <c:pt idx="0">
                  <c:v>Gemini2-Pro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雷达图!$B$4:$F$4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F49-9AC7-83477AE5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'雷达图 (百分比)'!$A$2</c:f>
              <c:strCache>
                <c:ptCount val="1"/>
                <c:pt idx="0">
                  <c:v>GPT5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(百分比)'!$B$2:$F$2</c:f>
              <c:numCache>
                <c:formatCode>General</c:formatCode>
                <c:ptCount val="5"/>
                <c:pt idx="0">
                  <c:v>60</c:v>
                </c:pt>
                <c:pt idx="1">
                  <c:v>68.75</c:v>
                </c:pt>
                <c:pt idx="2">
                  <c:v>50</c:v>
                </c:pt>
                <c:pt idx="3">
                  <c:v>77.777777777777786</c:v>
                </c:pt>
                <c:pt idx="4">
                  <c:v>52.631578947368418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7-4EDA-B11C-CE3B20B13849}"/>
            </c:ext>
          </c:extLst>
        </c:ser>
        <c:ser>
          <c:idx val="1"/>
          <c:order val="1"/>
          <c:tx>
            <c:strRef>
              <c:f>'雷达图 (百分比)'!$A$3</c:f>
              <c:strCache>
                <c:ptCount val="1"/>
                <c:pt idx="0">
                  <c:v>GPT5-mini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(百分比)'!$B$3:$F$3</c:f>
              <c:numCache>
                <c:formatCode>General</c:formatCode>
                <c:ptCount val="5"/>
                <c:pt idx="0">
                  <c:v>70</c:v>
                </c:pt>
                <c:pt idx="1">
                  <c:v>81.25</c:v>
                </c:pt>
                <c:pt idx="2">
                  <c:v>56.25</c:v>
                </c:pt>
                <c:pt idx="3">
                  <c:v>55.555555555555557</c:v>
                </c:pt>
                <c:pt idx="4">
                  <c:v>42.105263157894733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7-4EDA-B11C-CE3B20B13849}"/>
            </c:ext>
          </c:extLst>
        </c:ser>
        <c:ser>
          <c:idx val="2"/>
          <c:order val="2"/>
          <c:tx>
            <c:strRef>
              <c:f>'雷达图 (百分比)'!$A$4</c:f>
              <c:strCache>
                <c:ptCount val="1"/>
                <c:pt idx="0">
                  <c:v>Gemini2.5-Pro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(百分比)'!$B$4:$F$4</c:f>
              <c:numCache>
                <c:formatCode>General</c:formatCode>
                <c:ptCount val="5"/>
                <c:pt idx="0">
                  <c:v>30</c:v>
                </c:pt>
                <c:pt idx="1">
                  <c:v>18.75</c:v>
                </c:pt>
                <c:pt idx="2">
                  <c:v>12.5</c:v>
                </c:pt>
                <c:pt idx="3">
                  <c:v>33.333333333333329</c:v>
                </c:pt>
                <c:pt idx="4">
                  <c:v>10.526315789473683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7-4EDA-B11C-CE3B20B1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7</xdr:row>
      <xdr:rowOff>49530</xdr:rowOff>
    </xdr:from>
    <xdr:to>
      <xdr:col>14</xdr:col>
      <xdr:colOff>312420</xdr:colOff>
      <xdr:row>26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A387A7-0027-2601-FACB-01AE226E9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5</xdr:row>
      <xdr:rowOff>133350</xdr:rowOff>
    </xdr:from>
    <xdr:to>
      <xdr:col>17</xdr:col>
      <xdr:colOff>7620</xdr:colOff>
      <xdr:row>25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0DA9A0F-DB00-44F2-9B56-20F61B729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49" workbookViewId="0">
      <selection activeCell="B52" sqref="B52:F52"/>
    </sheetView>
  </sheetViews>
  <sheetFormatPr defaultRowHeight="13.8" x14ac:dyDescent="0.25"/>
  <sheetData>
    <row r="1" spans="1:6" x14ac:dyDescent="0.25">
      <c r="A1" s="1"/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ht="27.6" x14ac:dyDescent="0.25">
      <c r="A2" s="1" t="s">
        <v>5</v>
      </c>
      <c r="B2" s="1"/>
      <c r="C2" s="1"/>
      <c r="D2" t="s">
        <v>100</v>
      </c>
    </row>
    <row r="3" spans="1:6" ht="27.6" x14ac:dyDescent="0.25">
      <c r="A3" s="1" t="s">
        <v>6</v>
      </c>
      <c r="B3" s="1"/>
      <c r="C3" s="1"/>
      <c r="D3" t="s">
        <v>100</v>
      </c>
    </row>
    <row r="4" spans="1:6" ht="55.2" x14ac:dyDescent="0.25">
      <c r="A4" s="1" t="s">
        <v>7</v>
      </c>
      <c r="B4" t="s">
        <v>100</v>
      </c>
      <c r="C4" s="1"/>
    </row>
    <row r="5" spans="1:6" ht="27.6" x14ac:dyDescent="0.25">
      <c r="A5" s="1" t="s">
        <v>8</v>
      </c>
      <c r="B5" s="1"/>
      <c r="C5" s="1"/>
      <c r="D5" t="s">
        <v>100</v>
      </c>
    </row>
    <row r="6" spans="1:6" ht="41.4" x14ac:dyDescent="0.25">
      <c r="A6" s="1" t="s">
        <v>9</v>
      </c>
      <c r="B6" s="1"/>
      <c r="C6" t="s">
        <v>100</v>
      </c>
    </row>
    <row r="7" spans="1:6" ht="41.4" x14ac:dyDescent="0.25">
      <c r="A7" s="1" t="s">
        <v>10</v>
      </c>
      <c r="B7" t="s">
        <v>100</v>
      </c>
      <c r="C7" s="1"/>
    </row>
    <row r="8" spans="1:6" ht="41.4" x14ac:dyDescent="0.25">
      <c r="A8" s="1" t="s">
        <v>11</v>
      </c>
      <c r="B8" s="1" t="s">
        <v>100</v>
      </c>
      <c r="C8" s="2" t="s">
        <v>100</v>
      </c>
    </row>
    <row r="9" spans="1:6" ht="27.6" x14ac:dyDescent="0.25">
      <c r="A9" s="1" t="s">
        <v>12</v>
      </c>
      <c r="B9" s="3"/>
      <c r="C9" s="2" t="s">
        <v>100</v>
      </c>
    </row>
    <row r="10" spans="1:6" ht="27.6" x14ac:dyDescent="0.25">
      <c r="A10" s="1" t="s">
        <v>13</v>
      </c>
      <c r="B10" s="1" t="s">
        <v>100</v>
      </c>
      <c r="C10" s="1"/>
    </row>
    <row r="11" spans="1:6" ht="41.4" x14ac:dyDescent="0.25">
      <c r="A11" s="1" t="s">
        <v>14</v>
      </c>
      <c r="B11" s="1"/>
      <c r="C11" t="s">
        <v>100</v>
      </c>
      <c r="D11" t="s">
        <v>100</v>
      </c>
    </row>
    <row r="12" spans="1:6" ht="69" x14ac:dyDescent="0.25">
      <c r="A12" s="1" t="s">
        <v>15</v>
      </c>
      <c r="B12" t="s">
        <v>100</v>
      </c>
      <c r="C12" s="4" t="s">
        <v>100</v>
      </c>
    </row>
    <row r="13" spans="1:6" ht="69" x14ac:dyDescent="0.25">
      <c r="A13" s="1" t="s">
        <v>16</v>
      </c>
      <c r="B13" s="1"/>
      <c r="C13" t="s">
        <v>100</v>
      </c>
    </row>
    <row r="14" spans="1:6" ht="41.4" x14ac:dyDescent="0.25">
      <c r="A14" s="1" t="s">
        <v>17</v>
      </c>
      <c r="B14" t="s">
        <v>100</v>
      </c>
      <c r="C14" s="1"/>
    </row>
    <row r="15" spans="1:6" ht="41.4" x14ac:dyDescent="0.25">
      <c r="A15" s="1" t="s">
        <v>18</v>
      </c>
      <c r="B15" t="s">
        <v>100</v>
      </c>
      <c r="C15" s="1"/>
      <c r="D15" t="s">
        <v>100</v>
      </c>
    </row>
    <row r="16" spans="1:6" ht="41.4" x14ac:dyDescent="0.25">
      <c r="A16" s="1" t="s">
        <v>19</v>
      </c>
      <c r="B16" s="1"/>
      <c r="C16" t="s">
        <v>100</v>
      </c>
      <c r="D16" s="4" t="s">
        <v>100</v>
      </c>
    </row>
    <row r="17" spans="1:5" ht="55.2" x14ac:dyDescent="0.25">
      <c r="A17" s="1" t="s">
        <v>20</v>
      </c>
      <c r="B17" s="1"/>
      <c r="C17" t="s">
        <v>100</v>
      </c>
    </row>
    <row r="18" spans="1:5" ht="55.2" x14ac:dyDescent="0.25">
      <c r="A18" s="1" t="s">
        <v>21</v>
      </c>
      <c r="B18" s="1"/>
      <c r="C18" t="s">
        <v>100</v>
      </c>
    </row>
    <row r="19" spans="1:5" ht="27.6" x14ac:dyDescent="0.25">
      <c r="A19" s="1" t="s">
        <v>22</v>
      </c>
      <c r="B19" t="s">
        <v>100</v>
      </c>
      <c r="C19" s="1"/>
    </row>
    <row r="20" spans="1:5" ht="27.6" x14ac:dyDescent="0.25">
      <c r="A20" s="1" t="s">
        <v>23</v>
      </c>
      <c r="B20" t="s">
        <v>100</v>
      </c>
      <c r="C20" s="1"/>
    </row>
    <row r="21" spans="1:5" ht="27.6" x14ac:dyDescent="0.25">
      <c r="A21" s="1" t="s">
        <v>24</v>
      </c>
      <c r="B21" t="s">
        <v>100</v>
      </c>
      <c r="C21" s="1"/>
    </row>
    <row r="22" spans="1:5" ht="27.6" x14ac:dyDescent="0.25">
      <c r="A22" s="1" t="s">
        <v>25</v>
      </c>
      <c r="B22" t="s">
        <v>100</v>
      </c>
      <c r="C22" s="1"/>
    </row>
    <row r="23" spans="1:5" ht="69" x14ac:dyDescent="0.25">
      <c r="A23" s="1" t="s">
        <v>26</v>
      </c>
      <c r="B23" t="s">
        <v>100</v>
      </c>
      <c r="C23" s="1"/>
      <c r="D23" t="s">
        <v>100</v>
      </c>
    </row>
    <row r="24" spans="1:5" ht="27.6" x14ac:dyDescent="0.25">
      <c r="A24" s="1" t="s">
        <v>27</v>
      </c>
      <c r="B24" t="s">
        <v>100</v>
      </c>
      <c r="C24" s="1"/>
    </row>
    <row r="25" spans="1:5" ht="55.2" x14ac:dyDescent="0.25">
      <c r="A25" s="1" t="s">
        <v>28</v>
      </c>
      <c r="B25" s="4"/>
      <c r="C25" s="1"/>
      <c r="D25" t="s">
        <v>100</v>
      </c>
      <c r="E25" t="s">
        <v>100</v>
      </c>
    </row>
    <row r="26" spans="1:5" ht="55.2" x14ac:dyDescent="0.25">
      <c r="A26" s="1" t="s">
        <v>29</v>
      </c>
      <c r="B26" s="4"/>
      <c r="C26" s="1"/>
      <c r="E26" t="s">
        <v>100</v>
      </c>
    </row>
    <row r="27" spans="1:5" ht="69" x14ac:dyDescent="0.25">
      <c r="A27" s="1" t="s">
        <v>30</v>
      </c>
      <c r="B27" s="4"/>
      <c r="C27" s="1"/>
      <c r="E27" t="s">
        <v>100</v>
      </c>
    </row>
    <row r="28" spans="1:5" ht="55.2" x14ac:dyDescent="0.25">
      <c r="A28" s="1" t="s">
        <v>31</v>
      </c>
      <c r="B28" s="4"/>
      <c r="C28" s="1"/>
      <c r="E28" t="s">
        <v>100</v>
      </c>
    </row>
    <row r="29" spans="1:5" ht="82.8" x14ac:dyDescent="0.25">
      <c r="A29" s="1" t="s">
        <v>32</v>
      </c>
      <c r="B29" s="4"/>
      <c r="C29" s="1"/>
      <c r="E29" t="s">
        <v>100</v>
      </c>
    </row>
    <row r="30" spans="1:5" ht="69" x14ac:dyDescent="0.25">
      <c r="A30" s="1" t="s">
        <v>33</v>
      </c>
      <c r="B30" s="4"/>
      <c r="C30" s="1"/>
      <c r="E30" t="s">
        <v>100</v>
      </c>
    </row>
    <row r="31" spans="1:5" ht="69" x14ac:dyDescent="0.25">
      <c r="A31" s="1" t="s">
        <v>34</v>
      </c>
      <c r="B31" s="4"/>
      <c r="C31" s="1"/>
      <c r="E31" t="s">
        <v>100</v>
      </c>
    </row>
    <row r="32" spans="1:5" ht="82.8" x14ac:dyDescent="0.25">
      <c r="A32" s="1" t="s">
        <v>35</v>
      </c>
      <c r="B32" s="4"/>
      <c r="C32" s="1"/>
      <c r="E32" t="s">
        <v>100</v>
      </c>
    </row>
    <row r="33" spans="1:6" ht="41.4" x14ac:dyDescent="0.25">
      <c r="A33" s="1" t="s">
        <v>36</v>
      </c>
      <c r="B33" t="s">
        <v>100</v>
      </c>
      <c r="C33" s="1"/>
      <c r="F33" t="s">
        <v>100</v>
      </c>
    </row>
    <row r="34" spans="1:6" ht="27.6" x14ac:dyDescent="0.25">
      <c r="A34" s="1" t="s">
        <v>37</v>
      </c>
      <c r="B34" s="4"/>
      <c r="C34" s="1"/>
      <c r="F34" t="s">
        <v>100</v>
      </c>
    </row>
    <row r="35" spans="1:6" ht="27.6" x14ac:dyDescent="0.25">
      <c r="A35" s="1" t="s">
        <v>38</v>
      </c>
      <c r="B35" s="1"/>
      <c r="C35" t="s">
        <v>100</v>
      </c>
      <c r="F35" t="s">
        <v>100</v>
      </c>
    </row>
    <row r="36" spans="1:6" ht="69" x14ac:dyDescent="0.25">
      <c r="A36" s="1" t="s">
        <v>39</v>
      </c>
      <c r="B36" t="s">
        <v>100</v>
      </c>
      <c r="C36" s="1"/>
      <c r="F36" t="s">
        <v>100</v>
      </c>
    </row>
    <row r="37" spans="1:6" ht="41.4" x14ac:dyDescent="0.25">
      <c r="A37" s="1" t="s">
        <v>40</v>
      </c>
      <c r="B37" s="3"/>
      <c r="C37" s="1"/>
      <c r="D37" s="4" t="s">
        <v>100</v>
      </c>
      <c r="F37" t="s">
        <v>100</v>
      </c>
    </row>
    <row r="38" spans="1:6" ht="69" x14ac:dyDescent="0.25">
      <c r="A38" s="1" t="s">
        <v>41</v>
      </c>
      <c r="B38" s="1"/>
      <c r="C38" t="s">
        <v>100</v>
      </c>
      <c r="F38" t="s">
        <v>100</v>
      </c>
    </row>
    <row r="39" spans="1:6" ht="69" x14ac:dyDescent="0.25">
      <c r="A39" s="1" t="s">
        <v>42</v>
      </c>
      <c r="B39" t="s">
        <v>100</v>
      </c>
      <c r="C39" s="1"/>
      <c r="F39" t="s">
        <v>100</v>
      </c>
    </row>
    <row r="40" spans="1:6" ht="55.2" x14ac:dyDescent="0.25">
      <c r="A40" s="1" t="s">
        <v>43</v>
      </c>
      <c r="B40" t="s">
        <v>100</v>
      </c>
      <c r="C40" s="1"/>
      <c r="F40" t="s">
        <v>100</v>
      </c>
    </row>
    <row r="41" spans="1:6" ht="27.6" x14ac:dyDescent="0.25">
      <c r="A41" s="1" t="s">
        <v>44</v>
      </c>
      <c r="B41" s="1"/>
      <c r="C41" t="s">
        <v>100</v>
      </c>
      <c r="D41" t="s">
        <v>100</v>
      </c>
      <c r="F41" t="s">
        <v>100</v>
      </c>
    </row>
    <row r="42" spans="1:6" ht="27.6" x14ac:dyDescent="0.25">
      <c r="A42" s="1" t="s">
        <v>45</v>
      </c>
      <c r="B42" t="s">
        <v>100</v>
      </c>
      <c r="C42" s="1"/>
      <c r="D42" t="s">
        <v>100</v>
      </c>
      <c r="F42" t="s">
        <v>100</v>
      </c>
    </row>
    <row r="43" spans="1:6" ht="110.4" x14ac:dyDescent="0.25">
      <c r="A43" s="1" t="s">
        <v>46</v>
      </c>
      <c r="B43" s="1"/>
      <c r="C43" t="s">
        <v>100</v>
      </c>
      <c r="F43" t="s">
        <v>100</v>
      </c>
    </row>
    <row r="44" spans="1:6" ht="55.2" x14ac:dyDescent="0.25">
      <c r="A44" s="1" t="s">
        <v>47</v>
      </c>
      <c r="B44" s="1"/>
      <c r="C44" t="s">
        <v>100</v>
      </c>
      <c r="D44" t="s">
        <v>100</v>
      </c>
      <c r="F44" t="s">
        <v>100</v>
      </c>
    </row>
    <row r="45" spans="1:6" ht="41.4" x14ac:dyDescent="0.25">
      <c r="A45" s="1" t="s">
        <v>48</v>
      </c>
      <c r="B45" s="1"/>
      <c r="C45" t="s">
        <v>100</v>
      </c>
      <c r="F45" t="s">
        <v>100</v>
      </c>
    </row>
    <row r="46" spans="1:6" ht="82.8" x14ac:dyDescent="0.25">
      <c r="A46" s="1" t="s">
        <v>49</v>
      </c>
      <c r="B46" s="4"/>
      <c r="C46" s="1"/>
      <c r="D46" t="s">
        <v>100</v>
      </c>
      <c r="F46" t="s">
        <v>100</v>
      </c>
    </row>
    <row r="47" spans="1:6" ht="27.6" x14ac:dyDescent="0.25">
      <c r="A47" s="1" t="s">
        <v>50</v>
      </c>
      <c r="B47" s="1"/>
      <c r="C47" t="s">
        <v>100</v>
      </c>
      <c r="D47" t="s">
        <v>100</v>
      </c>
      <c r="F47" t="s">
        <v>100</v>
      </c>
    </row>
    <row r="48" spans="1:6" ht="69" x14ac:dyDescent="0.25">
      <c r="A48" s="1" t="s">
        <v>51</v>
      </c>
      <c r="B48" s="4"/>
      <c r="C48" s="1"/>
      <c r="E48" s="4" t="s">
        <v>100</v>
      </c>
      <c r="F48" t="s">
        <v>100</v>
      </c>
    </row>
    <row r="49" spans="1:6" ht="96.6" x14ac:dyDescent="0.25">
      <c r="A49" s="1" t="s">
        <v>52</v>
      </c>
      <c r="B49" t="s">
        <v>100</v>
      </c>
      <c r="C49" s="1"/>
      <c r="D49" t="s">
        <v>100</v>
      </c>
      <c r="F49" t="s">
        <v>100</v>
      </c>
    </row>
    <row r="50" spans="1:6" ht="55.2" x14ac:dyDescent="0.25">
      <c r="A50" s="1" t="s">
        <v>53</v>
      </c>
      <c r="B50" t="s">
        <v>100</v>
      </c>
      <c r="C50" s="1"/>
      <c r="F50" t="s">
        <v>100</v>
      </c>
    </row>
    <row r="51" spans="1:6" ht="40.799999999999997" customHeight="1" x14ac:dyDescent="0.25">
      <c r="A51" s="1" t="s">
        <v>54</v>
      </c>
      <c r="B51" s="4"/>
      <c r="C51" s="1"/>
      <c r="D51" t="s">
        <v>100</v>
      </c>
      <c r="F51" t="s">
        <v>100</v>
      </c>
    </row>
    <row r="52" spans="1:6" x14ac:dyDescent="0.25">
      <c r="B52">
        <f>COUNTIF(B2:B51, "ok")</f>
        <v>20</v>
      </c>
      <c r="C52">
        <f t="shared" ref="C52:F52" si="0">COUNTIF(C2:C51, "ok")</f>
        <v>16</v>
      </c>
      <c r="D52">
        <f t="shared" si="0"/>
        <v>16</v>
      </c>
      <c r="E52">
        <f t="shared" si="0"/>
        <v>9</v>
      </c>
      <c r="F52">
        <f t="shared" si="0"/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5CC-E6EF-411D-8B0C-6CBCFF48237C}">
  <dimension ref="A1:O56"/>
  <sheetViews>
    <sheetView topLeftCell="B1" workbookViewId="0">
      <pane ySplit="1" topLeftCell="A47" activePane="bottomLeft" state="frozen"/>
      <selection activeCell="B1" sqref="B1"/>
      <selection pane="bottomLeft" activeCell="F1" sqref="F1:O51"/>
    </sheetView>
  </sheetViews>
  <sheetFormatPr defaultRowHeight="13.8" x14ac:dyDescent="0.25"/>
  <cols>
    <col min="1" max="1" width="16.88671875" customWidth="1"/>
    <col min="2" max="2" width="23.109375" customWidth="1"/>
    <col min="3" max="3" width="28.33203125" customWidth="1"/>
    <col min="4" max="4" width="23.5546875" customWidth="1"/>
    <col min="5" max="5" width="16" style="6" customWidth="1"/>
  </cols>
  <sheetData>
    <row r="1" spans="1:15" x14ac:dyDescent="0.25">
      <c r="A1" s="5"/>
      <c r="B1" s="5" t="s">
        <v>55</v>
      </c>
      <c r="C1" s="5" t="s">
        <v>56</v>
      </c>
      <c r="D1" s="1" t="s">
        <v>57</v>
      </c>
      <c r="E1" s="1" t="s">
        <v>58</v>
      </c>
      <c r="F1" s="1" t="s">
        <v>0</v>
      </c>
      <c r="G1" s="1" t="s">
        <v>1</v>
      </c>
      <c r="H1" t="s">
        <v>2</v>
      </c>
      <c r="I1" t="s">
        <v>3</v>
      </c>
      <c r="J1" t="s">
        <v>4</v>
      </c>
      <c r="K1" s="2" t="s">
        <v>0</v>
      </c>
      <c r="L1" s="2" t="s">
        <v>1</v>
      </c>
      <c r="M1" s="4" t="s">
        <v>2</v>
      </c>
      <c r="N1" s="4" t="s">
        <v>3</v>
      </c>
      <c r="O1" s="4" t="s">
        <v>4</v>
      </c>
    </row>
    <row r="2" spans="1:15" x14ac:dyDescent="0.25">
      <c r="A2" s="5" t="s">
        <v>5</v>
      </c>
      <c r="B2" s="5" t="s">
        <v>59</v>
      </c>
      <c r="C2" s="5" t="s">
        <v>59</v>
      </c>
      <c r="D2" s="1" t="s">
        <v>59</v>
      </c>
      <c r="E2" s="1" t="s">
        <v>59</v>
      </c>
      <c r="F2" s="1"/>
      <c r="G2" s="1"/>
      <c r="H2" t="s">
        <v>100</v>
      </c>
      <c r="K2" t="str">
        <f>IF(AND(E2="ok", F2="ok"), "ok", "")</f>
        <v/>
      </c>
      <c r="L2" t="str">
        <f>IF(AND(E2="ok", G2="ok"), "ok", "")</f>
        <v/>
      </c>
      <c r="M2" t="str">
        <f>IF(AND(E2="ok", H2="ok"), "ok", "")</f>
        <v>ok</v>
      </c>
      <c r="N2" t="str">
        <f>IF(AND(E2="ok", I2="ok"), "ok", "")</f>
        <v/>
      </c>
      <c r="O2" t="str">
        <f>IF(AND(E2="ok", J2="ok"), "ok", "")</f>
        <v/>
      </c>
    </row>
    <row r="3" spans="1:15" x14ac:dyDescent="0.25">
      <c r="A3" s="5" t="s">
        <v>6</v>
      </c>
      <c r="B3" s="5" t="s">
        <v>59</v>
      </c>
      <c r="C3" s="5" t="s">
        <v>59</v>
      </c>
      <c r="D3" s="1" t="s">
        <v>60</v>
      </c>
      <c r="E3" s="1" t="s">
        <v>61</v>
      </c>
      <c r="F3" s="1"/>
      <c r="G3" s="1"/>
      <c r="H3" t="s">
        <v>100</v>
      </c>
      <c r="K3" t="str">
        <f t="shared" ref="K3:K51" si="0">IF(AND(E3="ok", F3="ok"), "ok", "")</f>
        <v/>
      </c>
      <c r="L3" t="str">
        <f t="shared" ref="L3:L51" si="1">IF(AND(E3="ok", G3="ok"), "ok", "")</f>
        <v/>
      </c>
      <c r="M3" t="str">
        <f t="shared" ref="M3:M51" si="2">IF(AND(E3="ok", H3="ok"), "ok", "")</f>
        <v/>
      </c>
      <c r="N3" t="str">
        <f t="shared" ref="N3:N51" si="3">IF(AND(E3="ok", I3="ok"), "ok", "")</f>
        <v/>
      </c>
      <c r="O3" t="str">
        <f t="shared" ref="O3:O51" si="4">IF(AND(E3="ok", J3="ok"), "ok", "")</f>
        <v/>
      </c>
    </row>
    <row r="4" spans="1:15" x14ac:dyDescent="0.25">
      <c r="A4" s="5" t="s">
        <v>7</v>
      </c>
      <c r="B4" s="5" t="s">
        <v>59</v>
      </c>
      <c r="C4" s="5" t="s">
        <v>62</v>
      </c>
      <c r="D4" s="1" t="s">
        <v>59</v>
      </c>
      <c r="E4" s="1" t="s">
        <v>59</v>
      </c>
      <c r="F4" t="s">
        <v>100</v>
      </c>
      <c r="G4" s="1"/>
      <c r="K4" t="str">
        <f t="shared" si="0"/>
        <v>ok</v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</row>
    <row r="5" spans="1:15" x14ac:dyDescent="0.25">
      <c r="A5" s="5" t="s">
        <v>8</v>
      </c>
      <c r="B5" s="5" t="s">
        <v>59</v>
      </c>
      <c r="C5" s="5" t="s">
        <v>59</v>
      </c>
      <c r="D5" s="1" t="s">
        <v>59</v>
      </c>
      <c r="E5" s="1" t="s">
        <v>59</v>
      </c>
      <c r="F5" s="1"/>
      <c r="G5" s="1"/>
      <c r="H5" t="s">
        <v>100</v>
      </c>
      <c r="K5" t="str">
        <f t="shared" si="0"/>
        <v/>
      </c>
      <c r="L5" t="str">
        <f t="shared" si="1"/>
        <v/>
      </c>
      <c r="M5" t="str">
        <f t="shared" si="2"/>
        <v>ok</v>
      </c>
      <c r="N5" t="str">
        <f t="shared" si="3"/>
        <v/>
      </c>
      <c r="O5" t="str">
        <f t="shared" si="4"/>
        <v/>
      </c>
    </row>
    <row r="6" spans="1:15" x14ac:dyDescent="0.25">
      <c r="A6" s="5" t="s">
        <v>9</v>
      </c>
      <c r="B6" s="5" t="s">
        <v>59</v>
      </c>
      <c r="C6" s="5" t="s">
        <v>62</v>
      </c>
      <c r="D6" s="1" t="s">
        <v>59</v>
      </c>
      <c r="E6" s="1" t="s">
        <v>59</v>
      </c>
      <c r="F6" s="1"/>
      <c r="G6" t="s">
        <v>100</v>
      </c>
      <c r="K6" t="str">
        <f t="shared" si="0"/>
        <v/>
      </c>
      <c r="L6" t="str">
        <f t="shared" si="1"/>
        <v>ok</v>
      </c>
      <c r="M6" t="str">
        <f t="shared" si="2"/>
        <v/>
      </c>
      <c r="N6" t="str">
        <f t="shared" si="3"/>
        <v/>
      </c>
      <c r="O6" t="str">
        <f t="shared" si="4"/>
        <v/>
      </c>
    </row>
    <row r="7" spans="1:15" x14ac:dyDescent="0.25">
      <c r="A7" s="5" t="s">
        <v>10</v>
      </c>
      <c r="B7" s="5" t="s">
        <v>59</v>
      </c>
      <c r="C7" s="5" t="s">
        <v>59</v>
      </c>
      <c r="D7" s="1" t="s">
        <v>59</v>
      </c>
      <c r="E7" s="1" t="s">
        <v>59</v>
      </c>
      <c r="F7" t="s">
        <v>100</v>
      </c>
      <c r="G7" s="1"/>
      <c r="K7" t="str">
        <f t="shared" si="0"/>
        <v>ok</v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</row>
    <row r="8" spans="1:15" x14ac:dyDescent="0.25">
      <c r="A8" s="5" t="s">
        <v>11</v>
      </c>
      <c r="B8" s="5" t="s">
        <v>59</v>
      </c>
      <c r="C8" s="5" t="s">
        <v>59</v>
      </c>
      <c r="D8" s="1" t="s">
        <v>59</v>
      </c>
      <c r="E8" s="1" t="s">
        <v>59</v>
      </c>
      <c r="F8" s="1" t="s">
        <v>100</v>
      </c>
      <c r="G8" s="2" t="s">
        <v>100</v>
      </c>
      <c r="K8" t="str">
        <f t="shared" si="0"/>
        <v>ok</v>
      </c>
      <c r="L8" t="str">
        <f t="shared" si="1"/>
        <v>ok</v>
      </c>
      <c r="M8" t="str">
        <f t="shared" si="2"/>
        <v/>
      </c>
      <c r="N8" t="str">
        <f t="shared" si="3"/>
        <v/>
      </c>
      <c r="O8" t="str">
        <f t="shared" si="4"/>
        <v/>
      </c>
    </row>
    <row r="9" spans="1:15" x14ac:dyDescent="0.25">
      <c r="A9" s="5" t="s">
        <v>12</v>
      </c>
      <c r="B9" s="5" t="s">
        <v>59</v>
      </c>
      <c r="C9" s="5" t="s">
        <v>59</v>
      </c>
      <c r="D9" s="1" t="s">
        <v>59</v>
      </c>
      <c r="E9" s="1" t="s">
        <v>59</v>
      </c>
      <c r="F9" s="3"/>
      <c r="G9" s="2" t="s">
        <v>100</v>
      </c>
      <c r="K9" t="str">
        <f t="shared" si="0"/>
        <v/>
      </c>
      <c r="L9" t="str">
        <f t="shared" si="1"/>
        <v>ok</v>
      </c>
      <c r="M9" t="str">
        <f t="shared" si="2"/>
        <v/>
      </c>
      <c r="N9" t="str">
        <f t="shared" si="3"/>
        <v/>
      </c>
      <c r="O9" t="str">
        <f t="shared" si="4"/>
        <v/>
      </c>
    </row>
    <row r="10" spans="1:15" x14ac:dyDescent="0.25">
      <c r="A10" s="5" t="s">
        <v>13</v>
      </c>
      <c r="B10" s="5" t="s">
        <v>59</v>
      </c>
      <c r="C10" s="5" t="s">
        <v>62</v>
      </c>
      <c r="D10" s="1" t="s">
        <v>59</v>
      </c>
      <c r="E10" s="1" t="s">
        <v>59</v>
      </c>
      <c r="F10" s="1" t="s">
        <v>100</v>
      </c>
      <c r="G10" s="1"/>
      <c r="K10" t="str">
        <f t="shared" si="0"/>
        <v>ok</v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</row>
    <row r="11" spans="1:15" ht="27.6" x14ac:dyDescent="0.25">
      <c r="A11" s="5" t="s">
        <v>14</v>
      </c>
      <c r="B11" s="5" t="s">
        <v>59</v>
      </c>
      <c r="C11" s="5" t="s">
        <v>59</v>
      </c>
      <c r="D11" s="1" t="s">
        <v>63</v>
      </c>
      <c r="E11" s="1" t="s">
        <v>64</v>
      </c>
      <c r="F11" s="1"/>
      <c r="G11" t="s">
        <v>100</v>
      </c>
      <c r="H11" t="s">
        <v>100</v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</row>
    <row r="12" spans="1:15" ht="27.6" x14ac:dyDescent="0.25">
      <c r="A12" s="5" t="s">
        <v>15</v>
      </c>
      <c r="B12" s="5" t="s">
        <v>59</v>
      </c>
      <c r="C12" s="5" t="s">
        <v>62</v>
      </c>
      <c r="D12" s="1" t="s">
        <v>59</v>
      </c>
      <c r="E12" s="1" t="s">
        <v>65</v>
      </c>
      <c r="F12" t="s">
        <v>100</v>
      </c>
      <c r="G12" s="4" t="s">
        <v>100</v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</row>
    <row r="13" spans="1:15" x14ac:dyDescent="0.25">
      <c r="A13" s="5" t="s">
        <v>16</v>
      </c>
      <c r="B13" s="5" t="s">
        <v>59</v>
      </c>
      <c r="C13" s="5" t="s">
        <v>59</v>
      </c>
      <c r="D13" s="1" t="s">
        <v>59</v>
      </c>
      <c r="E13" s="1" t="s">
        <v>59</v>
      </c>
      <c r="F13" s="1"/>
      <c r="G13" t="s">
        <v>100</v>
      </c>
      <c r="K13" t="str">
        <f t="shared" si="0"/>
        <v/>
      </c>
      <c r="L13" t="str">
        <f t="shared" si="1"/>
        <v>ok</v>
      </c>
      <c r="M13" t="str">
        <f t="shared" si="2"/>
        <v/>
      </c>
      <c r="N13" t="str">
        <f t="shared" si="3"/>
        <v/>
      </c>
      <c r="O13" t="str">
        <f t="shared" si="4"/>
        <v/>
      </c>
    </row>
    <row r="14" spans="1:15" x14ac:dyDescent="0.25">
      <c r="A14" s="5" t="s">
        <v>17</v>
      </c>
      <c r="B14" s="5" t="s">
        <v>59</v>
      </c>
      <c r="C14" s="5" t="s">
        <v>62</v>
      </c>
      <c r="D14" s="1" t="s">
        <v>59</v>
      </c>
      <c r="E14" s="1" t="s">
        <v>59</v>
      </c>
      <c r="F14" t="s">
        <v>100</v>
      </c>
      <c r="G14" s="1"/>
      <c r="K14" t="str">
        <f t="shared" si="0"/>
        <v>ok</v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</row>
    <row r="15" spans="1:15" x14ac:dyDescent="0.25">
      <c r="A15" s="5" t="s">
        <v>18</v>
      </c>
      <c r="B15" s="5" t="s">
        <v>59</v>
      </c>
      <c r="C15" s="5" t="s">
        <v>59</v>
      </c>
      <c r="D15" s="1" t="s">
        <v>59</v>
      </c>
      <c r="E15" s="1" t="s">
        <v>59</v>
      </c>
      <c r="F15" t="s">
        <v>100</v>
      </c>
      <c r="G15" s="1"/>
      <c r="H15" t="s">
        <v>100</v>
      </c>
      <c r="K15" t="str">
        <f t="shared" si="0"/>
        <v>ok</v>
      </c>
      <c r="L15" t="str">
        <f t="shared" si="1"/>
        <v/>
      </c>
      <c r="M15" t="str">
        <f t="shared" si="2"/>
        <v>ok</v>
      </c>
      <c r="N15" t="str">
        <f t="shared" si="3"/>
        <v/>
      </c>
      <c r="O15" t="str">
        <f t="shared" si="4"/>
        <v/>
      </c>
    </row>
    <row r="16" spans="1:15" x14ac:dyDescent="0.25">
      <c r="A16" s="5" t="s">
        <v>19</v>
      </c>
      <c r="B16" s="5" t="s">
        <v>66</v>
      </c>
      <c r="C16" s="5" t="s">
        <v>67</v>
      </c>
      <c r="D16" s="1" t="s">
        <v>68</v>
      </c>
      <c r="E16" s="1" t="s">
        <v>68</v>
      </c>
      <c r="F16" s="1"/>
      <c r="G16" t="s">
        <v>100</v>
      </c>
      <c r="H16" s="4" t="s">
        <v>100</v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</row>
    <row r="17" spans="1:15" x14ac:dyDescent="0.25">
      <c r="A17" s="5" t="s">
        <v>20</v>
      </c>
      <c r="B17" s="5" t="s">
        <v>59</v>
      </c>
      <c r="C17" s="5" t="s">
        <v>62</v>
      </c>
      <c r="D17" s="1" t="s">
        <v>59</v>
      </c>
      <c r="E17" s="1" t="s">
        <v>59</v>
      </c>
      <c r="F17" s="1"/>
      <c r="G17" t="s">
        <v>100</v>
      </c>
      <c r="K17" t="str">
        <f t="shared" si="0"/>
        <v/>
      </c>
      <c r="L17" t="str">
        <f t="shared" si="1"/>
        <v>ok</v>
      </c>
      <c r="M17" t="str">
        <f t="shared" si="2"/>
        <v/>
      </c>
      <c r="N17" t="str">
        <f t="shared" si="3"/>
        <v/>
      </c>
      <c r="O17" t="str">
        <f t="shared" si="4"/>
        <v/>
      </c>
    </row>
    <row r="18" spans="1:15" x14ac:dyDescent="0.25">
      <c r="A18" s="5" t="s">
        <v>21</v>
      </c>
      <c r="B18" s="5" t="s">
        <v>59</v>
      </c>
      <c r="C18" s="5" t="s">
        <v>59</v>
      </c>
      <c r="D18" s="1" t="s">
        <v>59</v>
      </c>
      <c r="E18" s="1" t="s">
        <v>59</v>
      </c>
      <c r="F18" s="1"/>
      <c r="G18" t="s">
        <v>100</v>
      </c>
      <c r="K18" t="str">
        <f t="shared" si="0"/>
        <v/>
      </c>
      <c r="L18" t="str">
        <f t="shared" si="1"/>
        <v>ok</v>
      </c>
      <c r="M18" t="str">
        <f t="shared" si="2"/>
        <v/>
      </c>
      <c r="N18" t="str">
        <f t="shared" si="3"/>
        <v/>
      </c>
      <c r="O18" t="str">
        <f t="shared" si="4"/>
        <v/>
      </c>
    </row>
    <row r="19" spans="1:15" x14ac:dyDescent="0.25">
      <c r="A19" s="5" t="s">
        <v>22</v>
      </c>
      <c r="B19" s="5" t="s">
        <v>59</v>
      </c>
      <c r="C19" s="5" t="s">
        <v>62</v>
      </c>
      <c r="D19" s="1" t="s">
        <v>59</v>
      </c>
      <c r="E19" s="1" t="s">
        <v>59</v>
      </c>
      <c r="F19" t="s">
        <v>100</v>
      </c>
      <c r="G19" s="1"/>
      <c r="K19" t="str">
        <f t="shared" si="0"/>
        <v>ok</v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</row>
    <row r="20" spans="1:15" ht="41.4" x14ac:dyDescent="0.25">
      <c r="A20" s="5" t="s">
        <v>23</v>
      </c>
      <c r="B20" s="5" t="s">
        <v>59</v>
      </c>
      <c r="C20" s="5" t="s">
        <v>62</v>
      </c>
      <c r="D20" s="1" t="s">
        <v>59</v>
      </c>
      <c r="E20" s="1" t="s">
        <v>69</v>
      </c>
      <c r="F20" t="s">
        <v>100</v>
      </c>
      <c r="G20" s="1"/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</row>
    <row r="21" spans="1:15" x14ac:dyDescent="0.25">
      <c r="A21" s="5" t="s">
        <v>24</v>
      </c>
      <c r="B21" s="5" t="s">
        <v>59</v>
      </c>
      <c r="C21" s="5" t="s">
        <v>59</v>
      </c>
      <c r="D21" s="1" t="s">
        <v>59</v>
      </c>
      <c r="E21" s="1" t="s">
        <v>59</v>
      </c>
      <c r="F21" t="s">
        <v>100</v>
      </c>
      <c r="G21" s="1"/>
      <c r="K21" t="str">
        <f t="shared" si="0"/>
        <v>ok</v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</row>
    <row r="22" spans="1:15" x14ac:dyDescent="0.25">
      <c r="A22" s="5" t="s">
        <v>25</v>
      </c>
      <c r="B22" s="5" t="s">
        <v>59</v>
      </c>
      <c r="C22" s="5" t="s">
        <v>59</v>
      </c>
      <c r="D22" s="1" t="s">
        <v>59</v>
      </c>
      <c r="E22" s="1" t="s">
        <v>59</v>
      </c>
      <c r="F22" t="s">
        <v>100</v>
      </c>
      <c r="G22" s="1"/>
      <c r="K22" t="str">
        <f t="shared" si="0"/>
        <v>ok</v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</row>
    <row r="23" spans="1:15" x14ac:dyDescent="0.25">
      <c r="A23" s="5" t="s">
        <v>26</v>
      </c>
      <c r="B23" s="5" t="s">
        <v>67</v>
      </c>
      <c r="C23" s="5" t="s">
        <v>59</v>
      </c>
      <c r="D23" s="1" t="s">
        <v>59</v>
      </c>
      <c r="E23" s="1" t="s">
        <v>70</v>
      </c>
      <c r="F23" t="s">
        <v>100</v>
      </c>
      <c r="G23" s="1"/>
      <c r="H23" t="s">
        <v>100</v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</row>
    <row r="24" spans="1:15" x14ac:dyDescent="0.25">
      <c r="A24" s="5" t="s">
        <v>27</v>
      </c>
      <c r="B24" s="5" t="s">
        <v>67</v>
      </c>
      <c r="C24" s="5" t="s">
        <v>67</v>
      </c>
      <c r="D24" s="1" t="s">
        <v>70</v>
      </c>
      <c r="E24" s="1" t="s">
        <v>70</v>
      </c>
      <c r="F24" t="s">
        <v>100</v>
      </c>
      <c r="G24" s="1"/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</row>
    <row r="25" spans="1:15" ht="27.6" x14ac:dyDescent="0.25">
      <c r="A25" s="5" t="s">
        <v>28</v>
      </c>
      <c r="B25" s="5" t="s">
        <v>71</v>
      </c>
      <c r="C25" s="5" t="s">
        <v>71</v>
      </c>
      <c r="D25" s="1" t="s">
        <v>59</v>
      </c>
      <c r="E25" s="1" t="s">
        <v>72</v>
      </c>
      <c r="F25" s="4"/>
      <c r="G25" s="1"/>
      <c r="H25" t="s">
        <v>100</v>
      </c>
      <c r="I25" t="s">
        <v>100</v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</row>
    <row r="26" spans="1:15" ht="27.6" x14ac:dyDescent="0.25">
      <c r="A26" s="5" t="s">
        <v>29</v>
      </c>
      <c r="B26" s="5" t="s">
        <v>59</v>
      </c>
      <c r="C26" s="5" t="s">
        <v>59</v>
      </c>
      <c r="D26" s="1" t="s">
        <v>73</v>
      </c>
      <c r="E26" s="1" t="s">
        <v>59</v>
      </c>
      <c r="F26" s="4"/>
      <c r="G26" s="1"/>
      <c r="I26" t="s">
        <v>100</v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>ok</v>
      </c>
      <c r="O26" t="str">
        <f t="shared" si="4"/>
        <v/>
      </c>
    </row>
    <row r="27" spans="1:15" x14ac:dyDescent="0.25">
      <c r="A27" s="5" t="s">
        <v>30</v>
      </c>
      <c r="B27" s="5" t="s">
        <v>74</v>
      </c>
      <c r="C27" s="5" t="s">
        <v>71</v>
      </c>
      <c r="D27" s="1" t="s">
        <v>59</v>
      </c>
      <c r="E27" s="1" t="s">
        <v>59</v>
      </c>
      <c r="F27" s="4"/>
      <c r="G27" s="1"/>
      <c r="I27" t="s">
        <v>100</v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>ok</v>
      </c>
      <c r="O27" t="str">
        <f t="shared" si="4"/>
        <v/>
      </c>
    </row>
    <row r="28" spans="1:15" x14ac:dyDescent="0.25">
      <c r="A28" s="5" t="s">
        <v>31</v>
      </c>
      <c r="B28" s="5" t="s">
        <v>59</v>
      </c>
      <c r="C28" s="5" t="s">
        <v>59</v>
      </c>
      <c r="D28" s="1" t="s">
        <v>59</v>
      </c>
      <c r="E28" s="1" t="s">
        <v>59</v>
      </c>
      <c r="F28" s="4"/>
      <c r="G28" s="1"/>
      <c r="I28" t="s">
        <v>100</v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>ok</v>
      </c>
      <c r="O28" t="str">
        <f t="shared" si="4"/>
        <v/>
      </c>
    </row>
    <row r="29" spans="1:15" ht="27.6" x14ac:dyDescent="0.25">
      <c r="A29" s="5" t="s">
        <v>32</v>
      </c>
      <c r="B29" s="5" t="s">
        <v>75</v>
      </c>
      <c r="C29" s="5" t="s">
        <v>59</v>
      </c>
      <c r="D29" s="1" t="s">
        <v>76</v>
      </c>
      <c r="E29" s="1" t="s">
        <v>59</v>
      </c>
      <c r="F29" s="4"/>
      <c r="G29" s="1"/>
      <c r="I29" t="s">
        <v>100</v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>ok</v>
      </c>
      <c r="O29" t="str">
        <f t="shared" si="4"/>
        <v/>
      </c>
    </row>
    <row r="30" spans="1:15" ht="27.6" x14ac:dyDescent="0.25">
      <c r="A30" s="5" t="s">
        <v>33</v>
      </c>
      <c r="B30" s="5" t="s">
        <v>75</v>
      </c>
      <c r="C30" s="5" t="s">
        <v>77</v>
      </c>
      <c r="D30" s="1" t="s">
        <v>76</v>
      </c>
      <c r="E30" s="1" t="s">
        <v>59</v>
      </c>
      <c r="F30" s="4"/>
      <c r="G30" s="1"/>
      <c r="I30" t="s">
        <v>100</v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>ok</v>
      </c>
      <c r="O30" t="str">
        <f t="shared" si="4"/>
        <v/>
      </c>
    </row>
    <row r="31" spans="1:15" ht="27.6" x14ac:dyDescent="0.25">
      <c r="A31" s="5" t="s">
        <v>34</v>
      </c>
      <c r="B31" s="5" t="s">
        <v>78</v>
      </c>
      <c r="C31" s="5" t="s">
        <v>59</v>
      </c>
      <c r="D31" s="1" t="s">
        <v>76</v>
      </c>
      <c r="E31" s="1" t="s">
        <v>59</v>
      </c>
      <c r="F31" s="4"/>
      <c r="G31" s="1"/>
      <c r="I31" t="s">
        <v>100</v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>ok</v>
      </c>
      <c r="O31" t="str">
        <f t="shared" si="4"/>
        <v/>
      </c>
    </row>
    <row r="32" spans="1:15" x14ac:dyDescent="0.25">
      <c r="A32" s="5" t="s">
        <v>35</v>
      </c>
      <c r="B32" s="5" t="s">
        <v>59</v>
      </c>
      <c r="C32" s="5" t="s">
        <v>59</v>
      </c>
      <c r="D32" s="1" t="s">
        <v>59</v>
      </c>
      <c r="E32" s="1" t="s">
        <v>59</v>
      </c>
      <c r="F32" s="4"/>
      <c r="G32" s="1"/>
      <c r="I32" t="s">
        <v>100</v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>ok</v>
      </c>
      <c r="O32" t="str">
        <f t="shared" si="4"/>
        <v/>
      </c>
    </row>
    <row r="33" spans="1:15" ht="27.6" x14ac:dyDescent="0.25">
      <c r="A33" s="5" t="s">
        <v>36</v>
      </c>
      <c r="B33" s="5"/>
      <c r="C33" s="5"/>
      <c r="D33" s="1" t="s">
        <v>70</v>
      </c>
      <c r="E33" s="1" t="s">
        <v>79</v>
      </c>
      <c r="F33" t="s">
        <v>100</v>
      </c>
      <c r="G33" s="1"/>
      <c r="J33" t="s">
        <v>100</v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</row>
    <row r="34" spans="1:15" x14ac:dyDescent="0.25">
      <c r="A34" s="5" t="s">
        <v>37</v>
      </c>
      <c r="B34" s="5"/>
      <c r="C34" s="5"/>
      <c r="D34" s="1" t="s">
        <v>80</v>
      </c>
      <c r="E34" s="1" t="s">
        <v>80</v>
      </c>
      <c r="F34" s="4"/>
      <c r="G34" s="1"/>
      <c r="J34" t="s">
        <v>100</v>
      </c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 t="shared" si="3"/>
        <v/>
      </c>
      <c r="O34" t="str">
        <f t="shared" si="4"/>
        <v/>
      </c>
    </row>
    <row r="35" spans="1:15" ht="27.6" x14ac:dyDescent="0.25">
      <c r="A35" s="5" t="s">
        <v>38</v>
      </c>
      <c r="B35" s="5" t="s">
        <v>59</v>
      </c>
      <c r="C35" s="5"/>
      <c r="D35" s="1" t="s">
        <v>81</v>
      </c>
      <c r="E35" s="1" t="s">
        <v>82</v>
      </c>
      <c r="F35" s="1"/>
      <c r="G35" t="s">
        <v>100</v>
      </c>
      <c r="J35" t="s">
        <v>100</v>
      </c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 t="shared" si="3"/>
        <v/>
      </c>
      <c r="O35" t="str">
        <f t="shared" si="4"/>
        <v/>
      </c>
    </row>
    <row r="36" spans="1:15" x14ac:dyDescent="0.25">
      <c r="A36" s="5" t="s">
        <v>39</v>
      </c>
      <c r="B36" s="5"/>
      <c r="C36" s="5"/>
      <c r="D36" s="1" t="s">
        <v>59</v>
      </c>
      <c r="E36" s="1" t="s">
        <v>59</v>
      </c>
      <c r="F36" t="s">
        <v>100</v>
      </c>
      <c r="G36" s="1"/>
      <c r="J36" t="s">
        <v>100</v>
      </c>
      <c r="K36" t="str">
        <f t="shared" si="0"/>
        <v>ok</v>
      </c>
      <c r="L36" t="str">
        <f t="shared" si="1"/>
        <v/>
      </c>
      <c r="M36" t="str">
        <f t="shared" si="2"/>
        <v/>
      </c>
      <c r="N36" t="str">
        <f t="shared" si="3"/>
        <v/>
      </c>
      <c r="O36" t="str">
        <f t="shared" si="4"/>
        <v>ok</v>
      </c>
    </row>
    <row r="37" spans="1:15" x14ac:dyDescent="0.25">
      <c r="A37" s="5" t="s">
        <v>40</v>
      </c>
      <c r="B37" s="5"/>
      <c r="C37" s="5"/>
      <c r="D37" s="1" t="s">
        <v>83</v>
      </c>
      <c r="E37" s="1" t="s">
        <v>59</v>
      </c>
      <c r="F37" s="3"/>
      <c r="G37" s="1"/>
      <c r="H37" s="4" t="s">
        <v>100</v>
      </c>
      <c r="J37" t="s">
        <v>100</v>
      </c>
      <c r="K37" t="str">
        <f t="shared" si="0"/>
        <v/>
      </c>
      <c r="L37" t="str">
        <f t="shared" si="1"/>
        <v/>
      </c>
      <c r="M37" t="str">
        <f t="shared" si="2"/>
        <v>ok</v>
      </c>
      <c r="N37" t="str">
        <f t="shared" si="3"/>
        <v/>
      </c>
      <c r="O37" t="str">
        <f t="shared" si="4"/>
        <v>ok</v>
      </c>
    </row>
    <row r="38" spans="1:15" ht="41.4" x14ac:dyDescent="0.25">
      <c r="A38" s="5" t="s">
        <v>41</v>
      </c>
      <c r="B38" s="5"/>
      <c r="C38" s="5"/>
      <c r="D38" s="1" t="s">
        <v>84</v>
      </c>
      <c r="E38" s="1" t="s">
        <v>59</v>
      </c>
      <c r="F38" s="1"/>
      <c r="G38" t="s">
        <v>100</v>
      </c>
      <c r="J38" t="s">
        <v>100</v>
      </c>
      <c r="K38" t="str">
        <f t="shared" si="0"/>
        <v/>
      </c>
      <c r="L38" t="str">
        <f t="shared" si="1"/>
        <v>ok</v>
      </c>
      <c r="M38" t="str">
        <f t="shared" si="2"/>
        <v/>
      </c>
      <c r="N38" t="str">
        <f t="shared" si="3"/>
        <v/>
      </c>
      <c r="O38" t="str">
        <f t="shared" si="4"/>
        <v>ok</v>
      </c>
    </row>
    <row r="39" spans="1:15" x14ac:dyDescent="0.25">
      <c r="A39" s="5" t="s">
        <v>42</v>
      </c>
      <c r="B39" s="5"/>
      <c r="C39" s="5"/>
      <c r="D39" s="1" t="s">
        <v>59</v>
      </c>
      <c r="E39" s="1" t="s">
        <v>85</v>
      </c>
      <c r="F39" t="s">
        <v>100</v>
      </c>
      <c r="G39" s="1"/>
      <c r="J39" t="s">
        <v>100</v>
      </c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 t="shared" si="3"/>
        <v/>
      </c>
      <c r="O39" t="str">
        <f t="shared" si="4"/>
        <v/>
      </c>
    </row>
    <row r="40" spans="1:15" x14ac:dyDescent="0.25">
      <c r="A40" s="5" t="s">
        <v>43</v>
      </c>
      <c r="B40" s="5"/>
      <c r="C40" s="5"/>
      <c r="D40" s="1" t="s">
        <v>59</v>
      </c>
      <c r="E40" s="1" t="s">
        <v>59</v>
      </c>
      <c r="F40" t="s">
        <v>100</v>
      </c>
      <c r="G40" s="1"/>
      <c r="J40" t="s">
        <v>100</v>
      </c>
      <c r="K40" t="str">
        <f t="shared" si="0"/>
        <v>ok</v>
      </c>
      <c r="L40" t="str">
        <f t="shared" si="1"/>
        <v/>
      </c>
      <c r="M40" t="str">
        <f t="shared" si="2"/>
        <v/>
      </c>
      <c r="N40" t="str">
        <f t="shared" si="3"/>
        <v/>
      </c>
      <c r="O40" t="str">
        <f t="shared" si="4"/>
        <v>ok</v>
      </c>
    </row>
    <row r="41" spans="1:15" x14ac:dyDescent="0.25">
      <c r="A41" s="5" t="s">
        <v>44</v>
      </c>
      <c r="B41" s="5" t="s">
        <v>59</v>
      </c>
      <c r="C41" s="5"/>
      <c r="D41" s="1" t="s">
        <v>59</v>
      </c>
      <c r="E41" s="1" t="s">
        <v>59</v>
      </c>
      <c r="F41" s="1"/>
      <c r="G41" t="s">
        <v>100</v>
      </c>
      <c r="H41" t="s">
        <v>100</v>
      </c>
      <c r="J41" t="s">
        <v>100</v>
      </c>
      <c r="K41" t="str">
        <f t="shared" si="0"/>
        <v/>
      </c>
      <c r="L41" t="str">
        <f t="shared" si="1"/>
        <v>ok</v>
      </c>
      <c r="M41" t="str">
        <f t="shared" si="2"/>
        <v>ok</v>
      </c>
      <c r="N41" t="str">
        <f t="shared" si="3"/>
        <v/>
      </c>
      <c r="O41" t="str">
        <f t="shared" si="4"/>
        <v>ok</v>
      </c>
    </row>
    <row r="42" spans="1:15" ht="27.6" x14ac:dyDescent="0.25">
      <c r="A42" s="5" t="s">
        <v>45</v>
      </c>
      <c r="B42" s="5"/>
      <c r="C42" s="5"/>
      <c r="D42" s="1" t="s">
        <v>59</v>
      </c>
      <c r="E42" s="1" t="s">
        <v>86</v>
      </c>
      <c r="F42" t="s">
        <v>100</v>
      </c>
      <c r="G42" s="1"/>
      <c r="H42" t="s">
        <v>100</v>
      </c>
      <c r="J42" t="s">
        <v>100</v>
      </c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 t="shared" si="3"/>
        <v/>
      </c>
      <c r="O42" t="str">
        <f t="shared" si="4"/>
        <v/>
      </c>
    </row>
    <row r="43" spans="1:15" ht="41.4" x14ac:dyDescent="0.25">
      <c r="A43" s="5" t="s">
        <v>46</v>
      </c>
      <c r="B43" s="5"/>
      <c r="C43" s="5"/>
      <c r="D43" s="1" t="s">
        <v>59</v>
      </c>
      <c r="E43" s="1" t="s">
        <v>87</v>
      </c>
      <c r="F43" s="1"/>
      <c r="G43" t="s">
        <v>100</v>
      </c>
      <c r="J43" t="s">
        <v>100</v>
      </c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 t="shared" si="3"/>
        <v/>
      </c>
      <c r="O43" t="str">
        <f t="shared" si="4"/>
        <v/>
      </c>
    </row>
    <row r="44" spans="1:15" x14ac:dyDescent="0.25">
      <c r="A44" s="5" t="s">
        <v>47</v>
      </c>
      <c r="B44" s="5"/>
      <c r="C44" s="5"/>
      <c r="D44" s="1" t="s">
        <v>67</v>
      </c>
      <c r="E44" s="1" t="s">
        <v>59</v>
      </c>
      <c r="F44" s="1"/>
      <c r="G44" t="s">
        <v>100</v>
      </c>
      <c r="H44" t="s">
        <v>100</v>
      </c>
      <c r="J44" t="s">
        <v>100</v>
      </c>
      <c r="K44" t="str">
        <f t="shared" si="0"/>
        <v/>
      </c>
      <c r="L44" t="str">
        <f t="shared" si="1"/>
        <v>ok</v>
      </c>
      <c r="M44" t="str">
        <f t="shared" si="2"/>
        <v>ok</v>
      </c>
      <c r="N44" t="str">
        <f t="shared" si="3"/>
        <v/>
      </c>
      <c r="O44" t="str">
        <f t="shared" si="4"/>
        <v>ok</v>
      </c>
    </row>
    <row r="45" spans="1:15" x14ac:dyDescent="0.25">
      <c r="A45" s="5" t="s">
        <v>48</v>
      </c>
      <c r="B45" s="5"/>
      <c r="C45" s="5"/>
      <c r="D45" s="1" t="s">
        <v>80</v>
      </c>
      <c r="E45" s="1" t="s">
        <v>59</v>
      </c>
      <c r="F45" s="1"/>
      <c r="G45" t="s">
        <v>100</v>
      </c>
      <c r="J45" t="s">
        <v>100</v>
      </c>
      <c r="K45" t="str">
        <f t="shared" si="0"/>
        <v/>
      </c>
      <c r="L45" t="str">
        <f t="shared" si="1"/>
        <v>ok</v>
      </c>
      <c r="M45" t="str">
        <f t="shared" si="2"/>
        <v/>
      </c>
      <c r="N45" t="str">
        <f t="shared" si="3"/>
        <v/>
      </c>
      <c r="O45" t="str">
        <f t="shared" si="4"/>
        <v>ok</v>
      </c>
    </row>
    <row r="46" spans="1:15" x14ac:dyDescent="0.25">
      <c r="A46" s="5" t="s">
        <v>49</v>
      </c>
      <c r="B46" s="5"/>
      <c r="C46" s="5"/>
      <c r="D46" s="1" t="s">
        <v>59</v>
      </c>
      <c r="E46" s="1" t="s">
        <v>59</v>
      </c>
      <c r="F46" s="4"/>
      <c r="G46" s="1"/>
      <c r="H46" t="s">
        <v>100</v>
      </c>
      <c r="J46" t="s">
        <v>100</v>
      </c>
      <c r="K46" t="str">
        <f t="shared" si="0"/>
        <v/>
      </c>
      <c r="L46" t="str">
        <f t="shared" si="1"/>
        <v/>
      </c>
      <c r="M46" t="str">
        <f t="shared" si="2"/>
        <v>ok</v>
      </c>
      <c r="N46" t="str">
        <f t="shared" si="3"/>
        <v/>
      </c>
      <c r="O46" t="str">
        <f t="shared" si="4"/>
        <v>ok</v>
      </c>
    </row>
    <row r="47" spans="1:15" ht="27.6" x14ac:dyDescent="0.25">
      <c r="A47" s="5" t="s">
        <v>50</v>
      </c>
      <c r="B47" s="5"/>
      <c r="C47" s="5"/>
      <c r="D47" s="1" t="s">
        <v>88</v>
      </c>
      <c r="E47" s="1" t="s">
        <v>59</v>
      </c>
      <c r="F47" s="1"/>
      <c r="G47" t="s">
        <v>100</v>
      </c>
      <c r="H47" t="s">
        <v>100</v>
      </c>
      <c r="J47" t="s">
        <v>100</v>
      </c>
      <c r="K47" t="str">
        <f t="shared" si="0"/>
        <v/>
      </c>
      <c r="L47" t="str">
        <f t="shared" si="1"/>
        <v>ok</v>
      </c>
      <c r="M47" t="str">
        <f t="shared" si="2"/>
        <v>ok</v>
      </c>
      <c r="N47" t="str">
        <f t="shared" si="3"/>
        <v/>
      </c>
      <c r="O47" t="str">
        <f t="shared" si="4"/>
        <v>ok</v>
      </c>
    </row>
    <row r="48" spans="1:15" ht="41.4" x14ac:dyDescent="0.25">
      <c r="A48" s="5" t="s">
        <v>51</v>
      </c>
      <c r="B48" s="5"/>
      <c r="C48" s="5"/>
      <c r="D48" s="1" t="s">
        <v>78</v>
      </c>
      <c r="E48" s="1" t="s">
        <v>89</v>
      </c>
      <c r="F48" s="4"/>
      <c r="G48" s="1"/>
      <c r="I48" s="4" t="s">
        <v>100</v>
      </c>
      <c r="J48" t="s">
        <v>100</v>
      </c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 t="shared" si="3"/>
        <v/>
      </c>
      <c r="O48" t="str">
        <f t="shared" si="4"/>
        <v/>
      </c>
    </row>
    <row r="49" spans="1:15" x14ac:dyDescent="0.25">
      <c r="A49" s="5" t="s">
        <v>52</v>
      </c>
      <c r="B49" s="5"/>
      <c r="C49" s="5"/>
      <c r="D49" s="1" t="s">
        <v>67</v>
      </c>
      <c r="E49" s="1" t="s">
        <v>80</v>
      </c>
      <c r="F49" t="s">
        <v>100</v>
      </c>
      <c r="G49" s="1"/>
      <c r="H49" t="s">
        <v>100</v>
      </c>
      <c r="J49" t="s">
        <v>100</v>
      </c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 t="shared" si="3"/>
        <v/>
      </c>
      <c r="O49" t="str">
        <f t="shared" si="4"/>
        <v/>
      </c>
    </row>
    <row r="50" spans="1:15" ht="27.6" x14ac:dyDescent="0.25">
      <c r="A50" s="5" t="s">
        <v>53</v>
      </c>
      <c r="B50" s="5"/>
      <c r="C50" s="5"/>
      <c r="D50" s="1" t="s">
        <v>90</v>
      </c>
      <c r="E50" s="1" t="s">
        <v>59</v>
      </c>
      <c r="F50" t="s">
        <v>100</v>
      </c>
      <c r="G50" s="1"/>
      <c r="J50" t="s">
        <v>100</v>
      </c>
      <c r="K50" t="str">
        <f t="shared" si="0"/>
        <v>ok</v>
      </c>
      <c r="L50" t="str">
        <f t="shared" si="1"/>
        <v/>
      </c>
      <c r="M50" t="str">
        <f t="shared" si="2"/>
        <v/>
      </c>
      <c r="N50" t="str">
        <f t="shared" si="3"/>
        <v/>
      </c>
      <c r="O50" t="str">
        <f t="shared" si="4"/>
        <v>ok</v>
      </c>
    </row>
    <row r="51" spans="1:15" ht="41.4" x14ac:dyDescent="0.25">
      <c r="A51" s="5" t="s">
        <v>54</v>
      </c>
      <c r="B51" s="5"/>
      <c r="C51" s="5"/>
      <c r="D51" s="1" t="s">
        <v>91</v>
      </c>
      <c r="E51" s="1" t="s">
        <v>91</v>
      </c>
      <c r="F51" s="4"/>
      <c r="G51" s="1"/>
      <c r="H51" t="s">
        <v>100</v>
      </c>
      <c r="J51" t="s">
        <v>100</v>
      </c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 t="shared" si="3"/>
        <v/>
      </c>
      <c r="O51" t="str">
        <f t="shared" si="4"/>
        <v/>
      </c>
    </row>
    <row r="52" spans="1:15" x14ac:dyDescent="0.25">
      <c r="K52">
        <f>COUNTIF(K2:K51, "ok")</f>
        <v>12</v>
      </c>
      <c r="L52">
        <f t="shared" ref="L52:O52" si="5">COUNTIF(L2:L51, "ok")</f>
        <v>11</v>
      </c>
      <c r="M52">
        <f t="shared" si="5"/>
        <v>8</v>
      </c>
      <c r="N52">
        <f t="shared" si="5"/>
        <v>7</v>
      </c>
      <c r="O52">
        <f t="shared" si="5"/>
        <v>10</v>
      </c>
    </row>
    <row r="56" spans="1:15" x14ac:dyDescent="0.25">
      <c r="K56">
        <v>12</v>
      </c>
      <c r="L56">
        <v>11</v>
      </c>
      <c r="M56">
        <v>8</v>
      </c>
      <c r="N56">
        <v>7</v>
      </c>
      <c r="O56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6D88-C39C-43DB-A5C0-C0862B39C591}">
  <dimension ref="A1:K52"/>
  <sheetViews>
    <sheetView workbookViewId="0">
      <pane ySplit="1" topLeftCell="A41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7" t="s">
        <v>101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100</v>
      </c>
      <c r="B2" s="1"/>
      <c r="C2" s="1"/>
      <c r="D2" t="s">
        <v>100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102</v>
      </c>
      <c r="B3" s="1"/>
      <c r="C3" s="1"/>
      <c r="D3" t="s">
        <v>100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100</v>
      </c>
      <c r="B4" t="s">
        <v>100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100</v>
      </c>
      <c r="B5" s="1"/>
      <c r="C5" s="1"/>
      <c r="D5" t="s">
        <v>100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100</v>
      </c>
      <c r="B6" s="1"/>
      <c r="C6" t="s">
        <v>100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100</v>
      </c>
      <c r="B7" t="s">
        <v>100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100</v>
      </c>
      <c r="B8" s="1" t="s">
        <v>100</v>
      </c>
      <c r="C8" s="2" t="s">
        <v>100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100</v>
      </c>
      <c r="B9" s="3"/>
      <c r="C9" s="2" t="s">
        <v>100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100</v>
      </c>
      <c r="B10" s="1" t="s">
        <v>100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100</v>
      </c>
      <c r="B11" s="1"/>
      <c r="C11" t="s">
        <v>100</v>
      </c>
      <c r="D11" t="s">
        <v>100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100</v>
      </c>
      <c r="B12" t="s">
        <v>100</v>
      </c>
      <c r="C12" s="4" t="s">
        <v>100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100</v>
      </c>
      <c r="B13" s="1"/>
      <c r="C13" t="s">
        <v>100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100</v>
      </c>
      <c r="B14" t="s">
        <v>100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100</v>
      </c>
      <c r="B15" t="s">
        <v>100</v>
      </c>
      <c r="C15" s="1"/>
      <c r="D15" t="s">
        <v>100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102</v>
      </c>
      <c r="B16" s="1"/>
      <c r="C16" t="s">
        <v>100</v>
      </c>
      <c r="D16" s="4" t="s">
        <v>100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100</v>
      </c>
      <c r="B17" s="1"/>
      <c r="C17" t="s">
        <v>100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100</v>
      </c>
      <c r="B18" s="1"/>
      <c r="C18" t="s">
        <v>100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100</v>
      </c>
      <c r="B19" t="s">
        <v>100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100</v>
      </c>
      <c r="B20" t="s">
        <v>100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100</v>
      </c>
      <c r="B21" t="s">
        <v>100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100</v>
      </c>
      <c r="B22" t="s">
        <v>100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100</v>
      </c>
      <c r="B23" t="s">
        <v>100</v>
      </c>
      <c r="C23" s="1"/>
      <c r="D23" t="s">
        <v>100</v>
      </c>
      <c r="G23" t="str">
        <f t="shared" si="0"/>
        <v>ok</v>
      </c>
      <c r="H23" t="str">
        <f t="shared" si="1"/>
        <v/>
      </c>
      <c r="I23" t="str">
        <f t="shared" si="2"/>
        <v>ok</v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102</v>
      </c>
      <c r="B24" t="s">
        <v>100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102</v>
      </c>
      <c r="B25" s="4"/>
      <c r="C25" s="1"/>
      <c r="D25" t="s">
        <v>100</v>
      </c>
      <c r="E25" t="s">
        <v>100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102</v>
      </c>
      <c r="B26" s="4"/>
      <c r="C26" s="1"/>
      <c r="E26" t="s">
        <v>100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100</v>
      </c>
      <c r="B27" s="4"/>
      <c r="C27" s="1"/>
      <c r="E27" t="s">
        <v>100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100</v>
      </c>
      <c r="B28" s="4"/>
      <c r="C28" s="1"/>
      <c r="E28" t="s">
        <v>100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>ok</v>
      </c>
      <c r="K28" t="str">
        <f t="shared" si="4"/>
        <v/>
      </c>
    </row>
    <row r="29" spans="1:11" x14ac:dyDescent="0.25">
      <c r="A29" s="1" t="s">
        <v>102</v>
      </c>
      <c r="B29" s="4"/>
      <c r="C29" s="1"/>
      <c r="E29" t="s">
        <v>100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100</v>
      </c>
      <c r="B30" s="4"/>
      <c r="C30" s="1"/>
      <c r="E30" t="s">
        <v>100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A31" s="1" t="s">
        <v>100</v>
      </c>
      <c r="B31" s="4"/>
      <c r="C31" s="1"/>
      <c r="E31" t="s">
        <v>100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>ok</v>
      </c>
      <c r="K31" t="str">
        <f t="shared" si="4"/>
        <v/>
      </c>
    </row>
    <row r="32" spans="1:11" x14ac:dyDescent="0.25">
      <c r="A32" s="1" t="s">
        <v>100</v>
      </c>
      <c r="B32" s="4"/>
      <c r="C32" s="1"/>
      <c r="E32" t="s">
        <v>100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A33" s="1" t="s">
        <v>102</v>
      </c>
      <c r="B33" t="s">
        <v>100</v>
      </c>
      <c r="C33" s="1"/>
      <c r="F33" t="s">
        <v>100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102</v>
      </c>
      <c r="B34" s="4"/>
      <c r="C34" s="1"/>
      <c r="F34" t="s">
        <v>100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 t="s">
        <v>100</v>
      </c>
      <c r="B35" s="1"/>
      <c r="C35" t="s">
        <v>100</v>
      </c>
      <c r="F35" t="s">
        <v>100</v>
      </c>
      <c r="G35" t="str">
        <f t="shared" si="0"/>
        <v/>
      </c>
      <c r="H35" t="str">
        <f t="shared" si="1"/>
        <v>ok</v>
      </c>
      <c r="I35" t="str">
        <f t="shared" si="2"/>
        <v/>
      </c>
      <c r="J35" t="str">
        <f t="shared" si="3"/>
        <v/>
      </c>
      <c r="K35" t="str">
        <f t="shared" si="4"/>
        <v>ok</v>
      </c>
    </row>
    <row r="36" spans="1:11" x14ac:dyDescent="0.25">
      <c r="A36" s="1" t="s">
        <v>102</v>
      </c>
      <c r="B36" t="s">
        <v>100</v>
      </c>
      <c r="C36" s="1"/>
      <c r="F36" t="s">
        <v>100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100</v>
      </c>
      <c r="B37" s="3"/>
      <c r="C37" s="1"/>
      <c r="D37" s="4" t="s">
        <v>100</v>
      </c>
      <c r="F37" t="s">
        <v>100</v>
      </c>
      <c r="G37" t="str">
        <f t="shared" si="0"/>
        <v/>
      </c>
      <c r="H37" t="str">
        <f t="shared" si="1"/>
        <v/>
      </c>
      <c r="I37" t="str">
        <f t="shared" si="2"/>
        <v>ok</v>
      </c>
      <c r="J37" t="str">
        <f t="shared" si="3"/>
        <v/>
      </c>
      <c r="K37" t="str">
        <f t="shared" si="4"/>
        <v>ok</v>
      </c>
    </row>
    <row r="38" spans="1:11" x14ac:dyDescent="0.25">
      <c r="A38" s="1" t="s">
        <v>100</v>
      </c>
      <c r="B38" s="1"/>
      <c r="C38" t="s">
        <v>100</v>
      </c>
      <c r="F38" t="s">
        <v>100</v>
      </c>
      <c r="G38" t="str">
        <f t="shared" si="0"/>
        <v/>
      </c>
      <c r="H38" t="str">
        <f t="shared" si="1"/>
        <v>ok</v>
      </c>
      <c r="I38" t="str">
        <f t="shared" si="2"/>
        <v/>
      </c>
      <c r="J38" t="str">
        <f t="shared" si="3"/>
        <v/>
      </c>
      <c r="K38" t="str">
        <f t="shared" si="4"/>
        <v>ok</v>
      </c>
    </row>
    <row r="39" spans="1:11" x14ac:dyDescent="0.25">
      <c r="A39" s="1" t="s">
        <v>102</v>
      </c>
      <c r="B39" t="s">
        <v>100</v>
      </c>
      <c r="C39" s="1"/>
      <c r="F39" t="s">
        <v>100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 t="s">
        <v>100</v>
      </c>
      <c r="B40" t="s">
        <v>100</v>
      </c>
      <c r="C40" s="1"/>
      <c r="F40" t="s">
        <v>100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1" t="s">
        <v>100</v>
      </c>
      <c r="B41" s="1"/>
      <c r="C41" t="s">
        <v>100</v>
      </c>
      <c r="D41" t="s">
        <v>100</v>
      </c>
      <c r="F41" t="s">
        <v>100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1" t="s">
        <v>102</v>
      </c>
      <c r="B42" t="s">
        <v>100</v>
      </c>
      <c r="C42" s="1"/>
      <c r="D42" t="s">
        <v>100</v>
      </c>
      <c r="F42" t="s">
        <v>100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 t="s">
        <v>102</v>
      </c>
      <c r="B43" s="1"/>
      <c r="C43" t="s">
        <v>100</v>
      </c>
      <c r="F43" t="s">
        <v>100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102</v>
      </c>
      <c r="B44" s="1"/>
      <c r="C44" t="s">
        <v>100</v>
      </c>
      <c r="D44" t="s">
        <v>100</v>
      </c>
      <c r="F44" t="s">
        <v>100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100</v>
      </c>
      <c r="B45" s="1"/>
      <c r="C45" t="s">
        <v>100</v>
      </c>
      <c r="F45" t="s">
        <v>100</v>
      </c>
      <c r="G45" t="str">
        <f t="shared" si="0"/>
        <v/>
      </c>
      <c r="H45" t="str">
        <f t="shared" si="1"/>
        <v>ok</v>
      </c>
      <c r="I45" t="str">
        <f t="shared" si="2"/>
        <v/>
      </c>
      <c r="J45" t="str">
        <f t="shared" si="3"/>
        <v/>
      </c>
      <c r="K45" t="str">
        <f t="shared" si="4"/>
        <v>ok</v>
      </c>
    </row>
    <row r="46" spans="1:11" x14ac:dyDescent="0.25">
      <c r="A46" s="1" t="s">
        <v>102</v>
      </c>
      <c r="B46" s="4"/>
      <c r="C46" s="1"/>
      <c r="D46" t="s">
        <v>100</v>
      </c>
      <c r="F46" t="s">
        <v>100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100</v>
      </c>
      <c r="B47" s="1"/>
      <c r="C47" t="s">
        <v>100</v>
      </c>
      <c r="D47" t="s">
        <v>100</v>
      </c>
      <c r="F47" t="s">
        <v>100</v>
      </c>
      <c r="G47" t="str">
        <f t="shared" si="0"/>
        <v/>
      </c>
      <c r="H47" t="str">
        <f t="shared" si="1"/>
        <v>ok</v>
      </c>
      <c r="I47" t="str">
        <f t="shared" si="2"/>
        <v>ok</v>
      </c>
      <c r="J47" t="str">
        <f t="shared" si="3"/>
        <v/>
      </c>
      <c r="K47" t="str">
        <f t="shared" si="4"/>
        <v>ok</v>
      </c>
    </row>
    <row r="48" spans="1:11" x14ac:dyDescent="0.25">
      <c r="A48" s="1" t="s">
        <v>102</v>
      </c>
      <c r="B48" s="4"/>
      <c r="C48" s="1"/>
      <c r="E48" s="4" t="s">
        <v>100</v>
      </c>
      <c r="F48" t="s">
        <v>100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100</v>
      </c>
      <c r="B49" t="s">
        <v>100</v>
      </c>
      <c r="C49" s="1"/>
      <c r="D49" t="s">
        <v>100</v>
      </c>
      <c r="F49" t="s">
        <v>100</v>
      </c>
      <c r="G49" t="str">
        <f t="shared" si="0"/>
        <v>ok</v>
      </c>
      <c r="H49" t="str">
        <f t="shared" si="1"/>
        <v/>
      </c>
      <c r="I49" t="str">
        <f t="shared" si="2"/>
        <v>ok</v>
      </c>
      <c r="J49" t="str">
        <f t="shared" si="3"/>
        <v/>
      </c>
      <c r="K49" t="str">
        <f t="shared" si="4"/>
        <v>ok</v>
      </c>
    </row>
    <row r="50" spans="1:11" x14ac:dyDescent="0.25">
      <c r="A50" s="1" t="s">
        <v>102</v>
      </c>
      <c r="B50" t="s">
        <v>100</v>
      </c>
      <c r="C50" s="1"/>
      <c r="F50" t="s">
        <v>100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 t="s">
        <v>102</v>
      </c>
      <c r="B51" s="4"/>
      <c r="C51" s="1"/>
      <c r="D51" t="s">
        <v>100</v>
      </c>
      <c r="F51" t="s">
        <v>100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8">
        <v>33</v>
      </c>
      <c r="G52">
        <f>COUNTIF(G2:G51, "ok")</f>
        <v>14</v>
      </c>
      <c r="H52">
        <f t="shared" ref="H52:K52" si="5">COUNTIF(H2:H51, "ok")</f>
        <v>13</v>
      </c>
      <c r="I52">
        <f t="shared" si="5"/>
        <v>9</v>
      </c>
      <c r="J52">
        <f t="shared" si="5"/>
        <v>5</v>
      </c>
      <c r="K52">
        <f t="shared" si="5"/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38CB-067F-4BDD-862C-73BF65342165}">
  <dimension ref="A1:K52"/>
  <sheetViews>
    <sheetView workbookViewId="0">
      <pane ySplit="1" topLeftCell="A41" activePane="bottomLeft" state="frozen"/>
      <selection pane="bottomLeft" activeCell="G52" sqref="G52:K52"/>
    </sheetView>
  </sheetViews>
  <sheetFormatPr defaultRowHeight="13.8" x14ac:dyDescent="0.25"/>
  <cols>
    <col min="1" max="1" width="19.44140625" style="6" customWidth="1"/>
  </cols>
  <sheetData>
    <row r="1" spans="1:11" x14ac:dyDescent="0.25">
      <c r="A1" s="6" t="s">
        <v>103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 x14ac:dyDescent="0.25">
      <c r="A2" s="6" t="s">
        <v>100</v>
      </c>
      <c r="D2" t="s">
        <v>100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6" t="s">
        <v>104</v>
      </c>
      <c r="D3" t="s">
        <v>100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6" t="s">
        <v>100</v>
      </c>
      <c r="B4" t="s">
        <v>100</v>
      </c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6" t="s">
        <v>100</v>
      </c>
      <c r="D5" t="s">
        <v>100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6" t="s">
        <v>100</v>
      </c>
      <c r="C6" t="s">
        <v>100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ht="55.2" x14ac:dyDescent="0.25">
      <c r="A7" s="6" t="s">
        <v>105</v>
      </c>
      <c r="B7" t="s">
        <v>100</v>
      </c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ht="41.4" x14ac:dyDescent="0.25">
      <c r="A8" s="6" t="s">
        <v>106</v>
      </c>
      <c r="B8" t="s">
        <v>100</v>
      </c>
      <c r="C8" t="s">
        <v>100</v>
      </c>
      <c r="G8" t="str">
        <f t="shared" si="0"/>
        <v/>
      </c>
      <c r="H8" t="str">
        <f t="shared" si="1"/>
        <v/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6" t="s">
        <v>100</v>
      </c>
      <c r="C9" t="s">
        <v>100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6" t="s">
        <v>100</v>
      </c>
      <c r="B10" t="s">
        <v>100</v>
      </c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6" t="s">
        <v>107</v>
      </c>
      <c r="C11" t="s">
        <v>100</v>
      </c>
      <c r="D11" t="s">
        <v>100</v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</row>
    <row r="12" spans="1:11" ht="27.6" x14ac:dyDescent="0.25">
      <c r="A12" s="6" t="s">
        <v>108</v>
      </c>
      <c r="B12" t="s">
        <v>100</v>
      </c>
      <c r="C12" t="s">
        <v>100</v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ht="41.4" x14ac:dyDescent="0.25">
      <c r="A13" s="6" t="s">
        <v>109</v>
      </c>
      <c r="C13" t="s">
        <v>100</v>
      </c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6" t="s">
        <v>100</v>
      </c>
      <c r="B14" t="s">
        <v>100</v>
      </c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ht="41.4" x14ac:dyDescent="0.25">
      <c r="A15" s="6" t="s">
        <v>110</v>
      </c>
      <c r="B15" t="s">
        <v>100</v>
      </c>
      <c r="D15" t="s">
        <v>100</v>
      </c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</row>
    <row r="16" spans="1:11" ht="27.6" x14ac:dyDescent="0.25">
      <c r="A16" s="6" t="s">
        <v>111</v>
      </c>
      <c r="C16" t="s">
        <v>100</v>
      </c>
      <c r="D16" t="s">
        <v>100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6" t="s">
        <v>100</v>
      </c>
      <c r="C17" t="s">
        <v>100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ht="27.6" x14ac:dyDescent="0.25">
      <c r="A18" s="6" t="s">
        <v>112</v>
      </c>
      <c r="C18" t="s">
        <v>100</v>
      </c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6" t="s">
        <v>100</v>
      </c>
      <c r="B19" t="s">
        <v>100</v>
      </c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6" t="s">
        <v>100</v>
      </c>
      <c r="B20" t="s">
        <v>100</v>
      </c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ht="55.2" x14ac:dyDescent="0.25">
      <c r="A21" s="6" t="s">
        <v>113</v>
      </c>
      <c r="B21" t="s">
        <v>100</v>
      </c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ht="41.4" x14ac:dyDescent="0.25">
      <c r="A22" s="6" t="s">
        <v>114</v>
      </c>
      <c r="B22" t="s">
        <v>100</v>
      </c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ht="55.2" x14ac:dyDescent="0.25">
      <c r="A23" s="6" t="s">
        <v>115</v>
      </c>
      <c r="B23" t="s">
        <v>100</v>
      </c>
      <c r="D23" t="s">
        <v>100</v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1" ht="41.4" x14ac:dyDescent="0.25">
      <c r="A24" s="6" t="s">
        <v>116</v>
      </c>
      <c r="B24" t="s">
        <v>100</v>
      </c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6" t="s">
        <v>117</v>
      </c>
      <c r="D25" t="s">
        <v>100</v>
      </c>
      <c r="E25" t="s">
        <v>100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E26" t="s">
        <v>100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E27" t="s">
        <v>100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</row>
    <row r="28" spans="1:11" x14ac:dyDescent="0.25">
      <c r="A28" s="6" t="s">
        <v>100</v>
      </c>
      <c r="E28" t="s">
        <v>100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>ok</v>
      </c>
      <c r="K28" t="str">
        <f t="shared" si="4"/>
        <v/>
      </c>
    </row>
    <row r="29" spans="1:11" x14ac:dyDescent="0.25">
      <c r="E29" t="s">
        <v>100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6" t="s">
        <v>100</v>
      </c>
      <c r="E30" t="s">
        <v>100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E31" t="s">
        <v>100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</row>
    <row r="32" spans="1:11" x14ac:dyDescent="0.25">
      <c r="A32" s="6" t="s">
        <v>100</v>
      </c>
      <c r="E32" t="s">
        <v>100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B33" t="s">
        <v>100</v>
      </c>
      <c r="F33" t="s">
        <v>100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6" t="s">
        <v>100</v>
      </c>
      <c r="F34" t="s">
        <v>100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>ok</v>
      </c>
    </row>
    <row r="35" spans="1:11" x14ac:dyDescent="0.25">
      <c r="C35" t="s">
        <v>100</v>
      </c>
      <c r="F35" t="s">
        <v>100</v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x14ac:dyDescent="0.25">
      <c r="B36" t="s">
        <v>100</v>
      </c>
      <c r="F36" t="s">
        <v>100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ht="27.6" x14ac:dyDescent="0.25">
      <c r="A37" s="6" t="s">
        <v>118</v>
      </c>
      <c r="D37" t="s">
        <v>100</v>
      </c>
      <c r="F37" t="s">
        <v>100</v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</row>
    <row r="38" spans="1:11" ht="41.4" x14ac:dyDescent="0.25">
      <c r="A38" s="6" t="s">
        <v>119</v>
      </c>
      <c r="C38" t="s">
        <v>100</v>
      </c>
      <c r="F38" t="s">
        <v>100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</row>
    <row r="39" spans="1:11" ht="41.4" x14ac:dyDescent="0.25">
      <c r="A39" s="6" t="s">
        <v>120</v>
      </c>
      <c r="B39" t="s">
        <v>100</v>
      </c>
      <c r="F39" t="s">
        <v>100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6" t="s">
        <v>100</v>
      </c>
      <c r="B40" t="s">
        <v>100</v>
      </c>
      <c r="F40" t="s">
        <v>100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ht="27.6" x14ac:dyDescent="0.25">
      <c r="A41" s="6" t="s">
        <v>121</v>
      </c>
      <c r="C41" t="s">
        <v>100</v>
      </c>
      <c r="D41" t="s">
        <v>100</v>
      </c>
      <c r="F41" t="s">
        <v>100</v>
      </c>
      <c r="G41" t="str">
        <f t="shared" si="0"/>
        <v/>
      </c>
      <c r="H41" t="str">
        <f t="shared" si="1"/>
        <v/>
      </c>
      <c r="I41" t="str">
        <f t="shared" si="2"/>
        <v/>
      </c>
      <c r="J41" t="str">
        <f t="shared" si="3"/>
        <v/>
      </c>
      <c r="K41" t="str">
        <f t="shared" si="4"/>
        <v/>
      </c>
    </row>
    <row r="42" spans="1:11" x14ac:dyDescent="0.25">
      <c r="A42" s="6" t="s">
        <v>122</v>
      </c>
      <c r="B42" t="s">
        <v>100</v>
      </c>
      <c r="D42" t="s">
        <v>100</v>
      </c>
      <c r="F42" t="s">
        <v>100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C43" t="s">
        <v>100</v>
      </c>
      <c r="F43" t="s">
        <v>100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C44" t="s">
        <v>100</v>
      </c>
      <c r="D44" t="s">
        <v>100</v>
      </c>
      <c r="F44" t="s">
        <v>100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ht="55.2" x14ac:dyDescent="0.25">
      <c r="A45" s="6" t="s">
        <v>123</v>
      </c>
      <c r="C45" t="s">
        <v>100</v>
      </c>
      <c r="F45" t="s">
        <v>100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D46" t="s">
        <v>100</v>
      </c>
      <c r="F46" t="s">
        <v>100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C47" t="s">
        <v>100</v>
      </c>
      <c r="D47" t="s">
        <v>100</v>
      </c>
      <c r="F47" t="s">
        <v>100</v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</row>
    <row r="48" spans="1:11" x14ac:dyDescent="0.25">
      <c r="E48" t="s">
        <v>100</v>
      </c>
      <c r="F48" t="s">
        <v>100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B49" t="s">
        <v>100</v>
      </c>
      <c r="D49" t="s">
        <v>100</v>
      </c>
      <c r="F49" t="s">
        <v>100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B50" t="s">
        <v>100</v>
      </c>
      <c r="F50" t="s">
        <v>100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D51" t="s">
        <v>100</v>
      </c>
      <c r="F51" t="s">
        <v>100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6">
        <v>15</v>
      </c>
      <c r="G52">
        <f>COUNTIF(G2:G51, "ok")</f>
        <v>6</v>
      </c>
      <c r="H52">
        <f t="shared" ref="H52:K52" si="5">COUNTIF(H2:H51, "ok")</f>
        <v>3</v>
      </c>
      <c r="I52">
        <f t="shared" si="5"/>
        <v>2</v>
      </c>
      <c r="J52">
        <f t="shared" si="5"/>
        <v>3</v>
      </c>
      <c r="K52">
        <f t="shared" si="5"/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4F1B-06B1-4711-A1B7-2DBA66128BB1}">
  <dimension ref="A1:F4"/>
  <sheetViews>
    <sheetView workbookViewId="0">
      <selection activeCell="B2" sqref="B2:F4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92</v>
      </c>
      <c r="B2">
        <v>12</v>
      </c>
      <c r="C2">
        <v>11</v>
      </c>
      <c r="D2">
        <v>8</v>
      </c>
      <c r="E2">
        <v>7</v>
      </c>
      <c r="F2">
        <v>10</v>
      </c>
    </row>
    <row r="3" spans="1:6" x14ac:dyDescent="0.25">
      <c r="A3" t="s">
        <v>93</v>
      </c>
      <c r="B3">
        <v>14</v>
      </c>
      <c r="C3">
        <v>13</v>
      </c>
      <c r="D3">
        <v>9</v>
      </c>
      <c r="E3">
        <v>5</v>
      </c>
      <c r="F3">
        <v>8</v>
      </c>
    </row>
    <row r="4" spans="1:6" x14ac:dyDescent="0.25">
      <c r="A4" t="s">
        <v>94</v>
      </c>
      <c r="B4">
        <v>6</v>
      </c>
      <c r="C4">
        <v>3</v>
      </c>
      <c r="D4">
        <v>2</v>
      </c>
      <c r="E4">
        <v>3</v>
      </c>
      <c r="F4">
        <v>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6BE0-C347-4CB8-B323-06834301DBCA}">
  <dimension ref="A1:F13"/>
  <sheetViews>
    <sheetView tabSelected="1" workbookViewId="0">
      <selection activeCell="D22" sqref="D22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92</v>
      </c>
      <c r="B2">
        <v>60</v>
      </c>
      <c r="C2">
        <v>68.75</v>
      </c>
      <c r="D2">
        <v>50</v>
      </c>
      <c r="E2">
        <v>77.777777777777786</v>
      </c>
      <c r="F2">
        <v>52.631578947368418</v>
      </c>
    </row>
    <row r="3" spans="1:6" x14ac:dyDescent="0.25">
      <c r="A3" t="s">
        <v>93</v>
      </c>
      <c r="B3">
        <v>70</v>
      </c>
      <c r="C3">
        <v>81.25</v>
      </c>
      <c r="D3">
        <v>56.25</v>
      </c>
      <c r="E3">
        <v>55.555555555555557</v>
      </c>
      <c r="F3">
        <v>42.105263157894733</v>
      </c>
    </row>
    <row r="4" spans="1:6" x14ac:dyDescent="0.25">
      <c r="A4" t="s">
        <v>130</v>
      </c>
      <c r="B4">
        <v>30</v>
      </c>
      <c r="C4">
        <v>18.75</v>
      </c>
      <c r="D4">
        <v>12.5</v>
      </c>
      <c r="E4">
        <v>33.333333333333329</v>
      </c>
      <c r="F4">
        <v>10.526315789473683</v>
      </c>
    </row>
    <row r="7" spans="1:6" x14ac:dyDescent="0.25">
      <c r="B7">
        <v>12</v>
      </c>
      <c r="C7">
        <v>11</v>
      </c>
      <c r="D7">
        <v>8</v>
      </c>
      <c r="E7">
        <v>7</v>
      </c>
      <c r="F7">
        <v>10</v>
      </c>
    </row>
    <row r="8" spans="1:6" x14ac:dyDescent="0.25">
      <c r="B8">
        <v>14</v>
      </c>
      <c r="C8">
        <v>13</v>
      </c>
      <c r="D8">
        <v>9</v>
      </c>
      <c r="E8">
        <v>5</v>
      </c>
      <c r="F8">
        <v>8</v>
      </c>
    </row>
    <row r="9" spans="1:6" x14ac:dyDescent="0.25">
      <c r="B9">
        <v>6</v>
      </c>
      <c r="C9">
        <v>3</v>
      </c>
      <c r="D9">
        <v>2</v>
      </c>
      <c r="E9">
        <v>3</v>
      </c>
      <c r="F9">
        <v>2</v>
      </c>
    </row>
    <row r="10" spans="1:6" x14ac:dyDescent="0.25">
      <c r="B10">
        <v>20</v>
      </c>
      <c r="C10">
        <v>16</v>
      </c>
      <c r="D10">
        <v>16</v>
      </c>
      <c r="E10">
        <v>9</v>
      </c>
      <c r="F10">
        <v>19</v>
      </c>
    </row>
    <row r="11" spans="1:6" x14ac:dyDescent="0.25">
      <c r="A11" t="s">
        <v>129</v>
      </c>
      <c r="B11">
        <f>B7/B10*100</f>
        <v>60</v>
      </c>
      <c r="C11">
        <f t="shared" ref="C11:F11" si="0">C7/C10*100</f>
        <v>68.75</v>
      </c>
      <c r="D11">
        <f t="shared" si="0"/>
        <v>50</v>
      </c>
      <c r="E11">
        <f t="shared" si="0"/>
        <v>77.777777777777786</v>
      </c>
      <c r="F11">
        <f t="shared" si="0"/>
        <v>52.631578947368418</v>
      </c>
    </row>
    <row r="12" spans="1:6" x14ac:dyDescent="0.25">
      <c r="B12">
        <f>B8/B10*100</f>
        <v>70</v>
      </c>
      <c r="C12">
        <f t="shared" ref="C12:F12" si="1">C8/C10*100</f>
        <v>81.25</v>
      </c>
      <c r="D12">
        <f t="shared" si="1"/>
        <v>56.25</v>
      </c>
      <c r="E12">
        <f t="shared" si="1"/>
        <v>55.555555555555557</v>
      </c>
      <c r="F12">
        <f t="shared" si="1"/>
        <v>42.105263157894733</v>
      </c>
    </row>
    <row r="13" spans="1:6" x14ac:dyDescent="0.25">
      <c r="B13">
        <f>B9/B10*100</f>
        <v>30</v>
      </c>
      <c r="C13">
        <f t="shared" ref="C13:F13" si="2">C9/C10*100</f>
        <v>18.75</v>
      </c>
      <c r="D13">
        <f t="shared" si="2"/>
        <v>12.5</v>
      </c>
      <c r="E13">
        <f t="shared" si="2"/>
        <v>33.333333333333329</v>
      </c>
      <c r="F13">
        <f t="shared" si="2"/>
        <v>10.526315789473683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测试用例与标签</vt:lpstr>
      <vt:lpstr>gpt5-测试结果</vt:lpstr>
      <vt:lpstr>gpt5-mini</vt:lpstr>
      <vt:lpstr>gemini</vt:lpstr>
      <vt:lpstr>雷达图</vt:lpstr>
      <vt:lpstr>雷达图 (百分比)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2025-11-13T13:09:10Z</dcterms:modified>
</cp:coreProperties>
</file>